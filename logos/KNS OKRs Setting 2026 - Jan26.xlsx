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5db77f30d9bfa7/Desktop/"/>
    </mc:Choice>
  </mc:AlternateContent>
  <xr:revisionPtr revIDLastSave="0" documentId="8_{973C2202-9D8F-488A-B0AC-9A371099EE60}" xr6:coauthVersionLast="47" xr6:coauthVersionMax="47" xr10:uidLastSave="{00000000-0000-0000-0000-000000000000}"/>
  <bookViews>
    <workbookView xWindow="-38520" yWindow="-2910" windowWidth="38640" windowHeight="21120" tabRatio="799" xr2:uid="{00000000-000D-0000-FFFF-FFFF00000000}"/>
  </bookViews>
  <sheets>
    <sheet name="KNS OKRs 2026" sheetId="13" r:id="rId1"/>
    <sheet name="WGTs" sheetId="16" r:id="rId2"/>
    <sheet name="Presales" sheetId="17" r:id="rId3"/>
    <sheet name="PMO" sheetId="18" r:id="rId4"/>
    <sheet name="SD" sheetId="19" r:id="rId5"/>
    <sheet name="Eng'g" sheetId="20" r:id="rId6"/>
    <sheet name="HR" sheetId="21" r:id="rId7"/>
    <sheet name="Finance" sheetId="22" r:id="rId8"/>
    <sheet name="Individual Template" sheetId="12" r:id="rId9"/>
    <sheet name="Departmental Template" sheetId="14" r:id="rId10"/>
    <sheet name="Orgznal Performance Temp" sheetId="15" r:id="rId11"/>
  </sheets>
  <definedNames>
    <definedName name="_xlnm._FilterDatabase" localSheetId="1" hidden="1">WGTs!$B$7:$J$7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7" l="1"/>
  <c r="N10" i="17"/>
  <c r="G12" i="17"/>
  <c r="G20" i="17"/>
  <c r="B21" i="17"/>
  <c r="O6" i="22"/>
  <c r="O11" i="22"/>
  <c r="O15" i="22"/>
  <c r="H17" i="20"/>
  <c r="H11" i="20"/>
  <c r="H6" i="20"/>
  <c r="H15" i="22"/>
  <c r="H11" i="22"/>
  <c r="H6" i="22"/>
  <c r="C22" i="18"/>
  <c r="H21" i="18"/>
  <c r="N20" i="18"/>
  <c r="O20" i="18"/>
  <c r="N14" i="18"/>
  <c r="O14" i="18"/>
  <c r="N12" i="18"/>
  <c r="O12" i="18"/>
  <c r="N11" i="18"/>
  <c r="O11" i="18"/>
  <c r="N10" i="18"/>
  <c r="O10" i="18"/>
  <c r="N9" i="18"/>
  <c r="O9" i="18"/>
  <c r="O21" i="18"/>
  <c r="H8" i="18"/>
  <c r="N6" i="18"/>
  <c r="O6" i="18"/>
  <c r="N5" i="18"/>
  <c r="O5" i="18"/>
  <c r="N4" i="18"/>
  <c r="O4" i="18"/>
  <c r="O8" i="18"/>
  <c r="C23" i="21"/>
  <c r="H22" i="21"/>
  <c r="N21" i="21"/>
  <c r="O21" i="21"/>
  <c r="N20" i="21"/>
  <c r="O20" i="21"/>
  <c r="N19" i="21"/>
  <c r="O19" i="21"/>
  <c r="O18" i="21"/>
  <c r="O17" i="21"/>
  <c r="N16" i="21"/>
  <c r="O16" i="21"/>
  <c r="N15" i="21"/>
  <c r="O15" i="21"/>
  <c r="N14" i="21"/>
  <c r="O14" i="21"/>
  <c r="N13" i="21"/>
  <c r="O13" i="21"/>
  <c r="N12" i="21"/>
  <c r="O12" i="21"/>
  <c r="N11" i="21"/>
  <c r="O11" i="21"/>
  <c r="N10" i="21"/>
  <c r="O10" i="21"/>
  <c r="O22" i="21" s="1"/>
  <c r="O23" i="21" s="1"/>
  <c r="H9" i="21"/>
  <c r="N8" i="21"/>
  <c r="O8" i="21"/>
  <c r="N7" i="21"/>
  <c r="O7" i="21"/>
  <c r="H6" i="21"/>
  <c r="N5" i="21"/>
  <c r="O5" i="21"/>
  <c r="N4" i="21"/>
  <c r="O4" i="21"/>
  <c r="N3" i="21"/>
  <c r="O3" i="21"/>
  <c r="O16" i="22"/>
  <c r="O22" i="18"/>
  <c r="O9" i="21"/>
  <c r="O6" i="21"/>
  <c r="C18" i="19"/>
  <c r="O17" i="19"/>
  <c r="O18" i="19"/>
  <c r="H17" i="19"/>
  <c r="H12" i="19"/>
  <c r="H3" i="19"/>
  <c r="M19" i="17"/>
  <c r="N19" i="17"/>
  <c r="M18" i="17"/>
  <c r="N18" i="17"/>
  <c r="M17" i="17"/>
  <c r="N17" i="17"/>
  <c r="M16" i="17"/>
  <c r="N16" i="17"/>
  <c r="M15" i="17"/>
  <c r="N15" i="17"/>
  <c r="M14" i="17"/>
  <c r="N14" i="17"/>
  <c r="M13" i="17"/>
  <c r="N13" i="17"/>
  <c r="N20" i="17"/>
  <c r="G9" i="17"/>
  <c r="M8" i="17"/>
  <c r="N8" i="17"/>
  <c r="M7" i="17"/>
  <c r="N7" i="17"/>
  <c r="M6" i="17"/>
  <c r="N6" i="17"/>
  <c r="M5" i="17"/>
  <c r="N5" i="17"/>
  <c r="M4" i="17"/>
  <c r="N4" i="17"/>
  <c r="M3" i="17"/>
  <c r="N3" i="17"/>
  <c r="M2" i="17"/>
  <c r="N2" i="17"/>
  <c r="N9" i="17"/>
  <c r="N12" i="17"/>
  <c r="D7" i="16"/>
  <c r="I7" i="16"/>
  <c r="H7" i="16"/>
  <c r="G7" i="16"/>
  <c r="F7" i="16"/>
  <c r="E7" i="16"/>
  <c r="C7" i="16"/>
  <c r="G13" i="15"/>
  <c r="H13" i="15"/>
  <c r="I13" i="15"/>
  <c r="J13" i="15"/>
  <c r="F13" i="15"/>
  <c r="H9" i="15"/>
  <c r="I9" i="15"/>
  <c r="J9" i="15"/>
  <c r="F9" i="15"/>
  <c r="G9" i="15"/>
  <c r="G5" i="15"/>
  <c r="H5" i="15"/>
  <c r="I5" i="15"/>
  <c r="J5" i="15"/>
  <c r="F5" i="15"/>
  <c r="J5" i="14"/>
  <c r="J6" i="14"/>
  <c r="J4" i="14"/>
  <c r="E7" i="14"/>
  <c r="F7" i="14"/>
  <c r="G7" i="14"/>
  <c r="H7" i="14"/>
  <c r="I7" i="14"/>
  <c r="D7" i="14"/>
  <c r="C7" i="14"/>
  <c r="N25" i="12"/>
  <c r="O25" i="12"/>
  <c r="N26" i="12"/>
  <c r="O26" i="12"/>
  <c r="N27" i="12"/>
  <c r="O27" i="12"/>
  <c r="N28" i="12"/>
  <c r="O28" i="12"/>
  <c r="N29" i="12"/>
  <c r="O29" i="12"/>
  <c r="N24" i="12"/>
  <c r="O24" i="12"/>
  <c r="N13" i="12"/>
  <c r="O13" i="12"/>
  <c r="N14" i="12"/>
  <c r="O14" i="12"/>
  <c r="N16" i="12"/>
  <c r="O16" i="12"/>
  <c r="N17" i="12"/>
  <c r="O17" i="12"/>
  <c r="N18" i="12"/>
  <c r="O18" i="12"/>
  <c r="N20" i="12"/>
  <c r="O20" i="12"/>
  <c r="N21" i="12"/>
  <c r="O21" i="12"/>
  <c r="N22" i="12"/>
  <c r="O22" i="12"/>
  <c r="N12" i="12"/>
  <c r="O12" i="12"/>
  <c r="N8" i="12"/>
  <c r="O8" i="12"/>
  <c r="N9" i="12"/>
  <c r="O9" i="12"/>
  <c r="N7" i="12"/>
  <c r="O7" i="12"/>
  <c r="H30" i="12"/>
  <c r="H23" i="12"/>
  <c r="H11" i="12"/>
  <c r="C31" i="12"/>
  <c r="K5" i="15"/>
  <c r="J7" i="16"/>
  <c r="L3" i="15"/>
  <c r="K9" i="15"/>
  <c r="K13" i="15"/>
  <c r="L11" i="15"/>
  <c r="O11" i="12"/>
  <c r="O30" i="12"/>
  <c r="J7" i="14"/>
  <c r="O23" i="12"/>
  <c r="L7" i="15"/>
  <c r="K15" i="15"/>
  <c r="L15" i="15"/>
  <c r="O31" i="12"/>
</calcChain>
</file>

<file path=xl/sharedStrings.xml><?xml version="1.0" encoding="utf-8"?>
<sst xmlns="http://schemas.openxmlformats.org/spreadsheetml/2006/main" count="666" uniqueCount="411">
  <si>
    <t>No</t>
  </si>
  <si>
    <t>OBJECTIVES</t>
  </si>
  <si>
    <t>ORGANIZATIONAL OBJECTIVE WEIGHTING</t>
  </si>
  <si>
    <t>KNS KEY RESULTS</t>
  </si>
  <si>
    <t>KR Weight</t>
  </si>
  <si>
    <t>MEASURE</t>
  </si>
  <si>
    <t>KR ACHIEVEMENT</t>
  </si>
  <si>
    <t>SCORE (%)</t>
  </si>
  <si>
    <t>Average Dept'al Score</t>
  </si>
  <si>
    <t>Solution Engineering</t>
  </si>
  <si>
    <t>BFSI</t>
  </si>
  <si>
    <t>Public Sector</t>
  </si>
  <si>
    <t>PMO</t>
  </si>
  <si>
    <t>Service Delivery</t>
  </si>
  <si>
    <t>Ent. Compute</t>
  </si>
  <si>
    <t>Data Centre</t>
  </si>
  <si>
    <t>NetSec</t>
  </si>
  <si>
    <t>Telecoms</t>
  </si>
  <si>
    <t>NSOC</t>
  </si>
  <si>
    <t>Cloud Platforms</t>
  </si>
  <si>
    <t>HR</t>
  </si>
  <si>
    <t>Finance</t>
  </si>
  <si>
    <t>KNS Key results that will meaure the success of the Objectives. This are not static, they will dynamically changes year on year based on the environment.</t>
  </si>
  <si>
    <t>Measure of 100% attainement of the key result</t>
  </si>
  <si>
    <t>How is the attainement as per the last checkin</t>
  </si>
  <si>
    <t>A calculated score achievement %</t>
  </si>
  <si>
    <t>Departmental Score for OKR1</t>
  </si>
  <si>
    <t>Departmental Weight in Achieving the OKR</t>
  </si>
  <si>
    <t>SEIZE OPPORTUNITIES: Public Sector with Mega Digital Transformation Projects &amp; BFSI with Zero Trust</t>
  </si>
  <si>
    <t>KR 1.1: Secure atleast 2 transformational, large scale &amp; long term digital transformation projects within the next 12 months.</t>
  </si>
  <si>
    <t>Weighted Departmental Score</t>
  </si>
  <si>
    <t>KR 1.2: Secure transformational, large scale &amp; long term digital transformation projects with annual revenue of 2 billion shillings within the next 12 months.</t>
  </si>
  <si>
    <t xml:space="preserve">KES 2,000,000,000.00 </t>
  </si>
  <si>
    <t>KR 1.3: Build 6 million dollars annual revenue in the BFSI sector, from Zero Trust based in 12 months.</t>
  </si>
  <si>
    <t xml:space="preserve">$10,000,000.00 </t>
  </si>
  <si>
    <t>KR1.4: Increase the number of Zero Trust Security Solution in the BFSI sector to 6 contracts in 12 months.</t>
  </si>
  <si>
    <t>KR1.5: Implement Zero Trust security frameworks for two BFSI clients within the next 12 months</t>
  </si>
  <si>
    <t>DRIVE BUSINESS SUSTAINABILITY: Through sustainable solutions &amp; services</t>
  </si>
  <si>
    <t>KR2.1: Increase subscription revenue to 5 Million dollars annually in the next 12 months</t>
  </si>
  <si>
    <t xml:space="preserve">$5,000,000.00 </t>
  </si>
  <si>
    <t>KR2.2:  Maintain a customer retention rate of 95% by  improving service quality, customer engagement strategies, enhancing customer support and implementing feedback loops to improve products and services within the next 12 months.</t>
  </si>
  <si>
    <t>Departmental Score for OKR2</t>
  </si>
  <si>
    <t xml:space="preserve">KR2.3: Grow the percentage of recurrent revenue to 50% over the next 12 months by ensuring 50% of solutions and services are subscription or maintenance contracts. </t>
  </si>
  <si>
    <t>Departmental Weight in Achieving the OKR(2)</t>
  </si>
  <si>
    <t>NAVIGATE CHALLENGES: Navigate Business, Project, Support, People, Operation Challenges</t>
  </si>
  <si>
    <t>KR 3.1: Reduce project delivery delay time to less than 5% of the planned project delivery timeline by enhancing compliance to the project delivery methodology.</t>
  </si>
  <si>
    <t>Weighted Departmental Score for OKR2</t>
  </si>
  <si>
    <t>KR3.2: Attain a customer satisfaction scores of 95% through introduction of customer feedback system and enhance support protocols to measure satisfaction levels after each resolved support ticket and project implementation.</t>
  </si>
  <si>
    <t>KR3.3: Maintain an employee retention rate of 95% of high skilled resources by Developing and implementing a comprehensive employee engagement program, including regular check-ins, career development opportunities, and work-life balance initiatives.</t>
  </si>
  <si>
    <t>Departmental Score for OKR3</t>
  </si>
  <si>
    <t>KR3.4: Increase productivity levels to 80% by providing training and tools to improve employee efficiency and measure productivity through key performance indicators.</t>
  </si>
  <si>
    <t>Departmental Weight in Achieving the OKR(3)</t>
  </si>
  <si>
    <t>KR3.5: Optimize business efficiency attain a Net Margin of 20% across all projects.</t>
  </si>
  <si>
    <t>Organization Aggregated Score</t>
  </si>
  <si>
    <t>Departmental OKRs Weights Distribution</t>
  </si>
  <si>
    <t>Objectives</t>
  </si>
  <si>
    <t>Orgnizational Objective Weight</t>
  </si>
  <si>
    <t>Presales</t>
  </si>
  <si>
    <t>Technical</t>
  </si>
  <si>
    <t>SD</t>
  </si>
  <si>
    <t>?Sales</t>
  </si>
  <si>
    <t>Total Individual Score</t>
  </si>
  <si>
    <t>KNS OKR </t>
  </si>
  <si>
    <t>OKR Weight</t>
  </si>
  <si>
    <t>OBJ_No</t>
  </si>
  <si>
    <t>SOLUTION ENGINEERING OBJECTIVES</t>
  </si>
  <si>
    <t>KR_No</t>
  </si>
  <si>
    <t>KEY RESULTS &amp; PROJECTS (ANNUAL)</t>
  </si>
  <si>
    <t>MEASURE - Annual Target</t>
  </si>
  <si>
    <t>Check-in Q1</t>
  </si>
  <si>
    <t>Check-in Q2</t>
  </si>
  <si>
    <t>Check-in Q3</t>
  </si>
  <si>
    <t>Check-in Q4</t>
  </si>
  <si>
    <t>SCORE (YTD)</t>
  </si>
  <si>
    <t>Achievement (%)</t>
  </si>
  <si>
    <t>Achieve ≥90% OEM onboarding and ≥70% top‑tier partner level across all strategic OEMs by Q4‑2026.</t>
  </si>
  <si>
    <t>Identify &amp; Onboard with atleast 90% Key Leading Solutions OEMs. Outline all the training, certification &amp; revenue requirements to attain the highest level of partnership.</t>
  </si>
  <si>
    <t>Attain 100% of the required Training and Certifications for atleast 90% of the identified &amp; onboarded solutions OEMs</t>
  </si>
  <si>
    <t>Attain highest level of partnership with atleast 70% of the identified &amp; onboarded solution OEMS</t>
  </si>
  <si>
    <t>Attain 100% of the required Revenue for atleast 50% of the identified solution OEMs</t>
  </si>
  <si>
    <r>
      <t xml:space="preserve">Achieve a converstion rate of at least </t>
    </r>
    <r>
      <rPr>
        <sz val="11"/>
        <color rgb="FFFF0000"/>
        <rFont val="Calibri"/>
        <family val="2"/>
      </rPr>
      <t xml:space="preserve">70% </t>
    </r>
    <r>
      <rPr>
        <sz val="11"/>
        <color rgb="FF0070C0"/>
        <rFont val="Calibri"/>
        <family val="2"/>
      </rPr>
      <t>of all bids.</t>
    </r>
  </si>
  <si>
    <t xml:space="preserve">Reduce technical bid errors to ≤5% on all proposals/tenders/RFPs responses. </t>
  </si>
  <si>
    <t xml:space="preserve">Reduce financial errors to ≤5% from highly discounted vendor pricing, consolidate internal costings from relevant BUs and attain high NET margins. </t>
  </si>
  <si>
    <t>Achieve 100% consolidation of updated company statutory documents, engineer credentials, and project references into a centralized repository aligned with tender and KNS templates</t>
  </si>
  <si>
    <t>Objective 1 Score</t>
  </si>
  <si>
    <t>Ensure ≥70% of all presales proposals include subscription or managed service components or KNS support services.</t>
  </si>
  <si>
    <t>Support Sales to achieve ≥90% renewal rate on existing SLAs &amp; recurring contracts.</t>
  </si>
  <si>
    <t>Ensure 50%+ of all solutions designed by presales include subscription, managed services, or maintenance.</t>
  </si>
  <si>
    <t>Objective 2 Score</t>
  </si>
  <si>
    <t>Optimize project cost within project budget and effective SLA/Contract Management</t>
  </si>
  <si>
    <t xml:space="preserve">Collaborate with the Engineering and PMO team to create and implement a realistic project plan with clear, trackable activities and timelines for 100% of new Projects. </t>
  </si>
  <si>
    <t>Negotiate with suppliers to achieve an average 10% discount at PO issuance.</t>
  </si>
  <si>
    <t>Achieve 100% tracking of renewals for all SLAs and contracts with 90 days before expiry</t>
  </si>
  <si>
    <t>Ensure smooth and predictable project execution by delivering complete and accurate handover to PMO/Engineering before project kickoff.</t>
  </si>
  <si>
    <t>Deliver ≥95% complete handover packages (design, BoM, assumptions, risks) to PMO/Delivery to reduce downstream project delays</t>
  </si>
  <si>
    <t>Cultivate a cohesive team environment by prioritizing employee well-being, investing in their professional development, and facilitating opportunities for connection and collaboration.</t>
  </si>
  <si>
    <t>Ensure all of team members schedule and take at least 10 annual leave days and submit a handover report before leave.</t>
  </si>
  <si>
    <t>Achieve atleast 85% participation in team /company scheduled social activities</t>
  </si>
  <si>
    <t>Achieve zero major non‑conformities in all 2026 ISO external audits while reducing repeat non‑conformities.</t>
  </si>
  <si>
    <t>Deliver all 2026 external audits with zero major non‑conformities and achieve at least a 70% reduction in repeat non‑conformities, as verified through official audit reports</t>
  </si>
  <si>
    <t>Objective 3 Score</t>
  </si>
  <si>
    <t>OVERALL BSC SCORE</t>
  </si>
  <si>
    <t>RATING SCALE</t>
  </si>
  <si>
    <t>Employee Comments</t>
  </si>
  <si>
    <t>Percentage</t>
  </si>
  <si>
    <t>Definition</t>
  </si>
  <si>
    <t>Scale</t>
  </si>
  <si>
    <t>Above 95%</t>
  </si>
  <si>
    <t>Exceptional , Star Performer</t>
  </si>
  <si>
    <t>86% to 95%</t>
  </si>
  <si>
    <t>Excellent, Far exceeds  expectation</t>
  </si>
  <si>
    <t>76% to 85%</t>
  </si>
  <si>
    <t>Very Good achievement</t>
  </si>
  <si>
    <t>Supervisor Comments</t>
  </si>
  <si>
    <t>61 % - 75 %</t>
  </si>
  <si>
    <t>Achieved</t>
  </si>
  <si>
    <t>50 % - 60 %</t>
  </si>
  <si>
    <t>Marginal performance. Needs improvement</t>
  </si>
  <si>
    <t>Below 50 %</t>
  </si>
  <si>
    <t>Poor, Below Expectation</t>
  </si>
  <si>
    <t>Employees Signature _______________________________________ Date _______________</t>
  </si>
  <si>
    <t>Manager/Supervisor Signature _______________________________ Date _______________</t>
  </si>
  <si>
    <t>Business Unit</t>
  </si>
  <si>
    <t>PROJECT MANAGEMENT OFFICE</t>
  </si>
  <si>
    <t>KNS2.7.1</t>
  </si>
  <si>
    <t>Org'n. Objectives</t>
  </si>
  <si>
    <t>DEPT OBJECTIVE WEIGHT
(%)</t>
  </si>
  <si>
    <t>DEPARTMENTAL OBJECTIVES</t>
  </si>
  <si>
    <t>KR</t>
  </si>
  <si>
    <t>Key Actions</t>
  </si>
  <si>
    <t>Tools</t>
  </si>
  <si>
    <t>Check-in
Q1</t>
  </si>
  <si>
    <t>Check-in
Q2</t>
  </si>
  <si>
    <t>Check-in
Q3</t>
  </si>
  <si>
    <t>Check-in
Q4</t>
  </si>
  <si>
    <t>SCORE
(YTD)</t>
  </si>
  <si>
    <t>SEIZE Oppoutinities</t>
  </si>
  <si>
    <t>Objective 1</t>
  </si>
  <si>
    <t>KR1</t>
  </si>
  <si>
    <r>
      <rPr>
        <b/>
        <sz val="10"/>
        <rFont val="Arial"/>
        <family val="2"/>
      </rPr>
      <t>Objective 2.1</t>
    </r>
    <r>
      <rPr>
        <sz val="10"/>
        <rFont val="Arial"/>
        <family val="2"/>
      </rPr>
      <t>: Drive sustained customer retention by embedding service excellence, customer engagement and feedback-driven improvement across the organization.</t>
    </r>
  </si>
  <si>
    <r>
      <rPr>
        <b/>
        <sz val="10"/>
        <color theme="1"/>
        <rFont val="Arial"/>
        <family val="2"/>
      </rPr>
      <t>KR 2.1.1:</t>
    </r>
    <r>
      <rPr>
        <sz val="10"/>
        <color theme="1"/>
        <rFont val="Arial"/>
        <family val="2"/>
      </rPr>
      <t xml:space="preserve"> Adopt PLM tool across 100% of active projects to standardize project delivery, strengthen governance and controls and enhance real-time project reporting visibility.</t>
    </r>
  </si>
  <si>
    <t>PLM Tool</t>
  </si>
  <si>
    <r>
      <rPr>
        <b/>
        <sz val="10"/>
        <color theme="1"/>
        <rFont val="Arial"/>
        <family val="2"/>
      </rPr>
      <t>KR 2.1.2:</t>
    </r>
    <r>
      <rPr>
        <sz val="10"/>
        <color theme="1"/>
        <rFont val="Arial"/>
        <family val="2"/>
      </rPr>
      <t xml:space="preserve"> Conduct weekly stakeholder engagement sessions for 100% of active projects through structured internal and external status meetings, Steering Committee (SteerCo) and Senior Management Team (SMT) meetings, with documented minutes and tracked action items closed within agreed timelines.</t>
    </r>
  </si>
  <si>
    <t xml:space="preserve">
1. Meeting Minutes and Dashboards
2. Executive Dashboards
</t>
  </si>
  <si>
    <r>
      <rPr>
        <b/>
        <sz val="10"/>
        <color theme="1"/>
        <rFont val="Arial"/>
        <family val="2"/>
      </rPr>
      <t>KR 2.1.3:</t>
    </r>
    <r>
      <rPr>
        <sz val="10"/>
        <color theme="1"/>
        <rFont val="Arial"/>
        <family val="2"/>
      </rPr>
      <t xml:space="preserve"> Implement a minimum of three (3) process improvements per year driven by customer feedback and documented lessons learned.</t>
    </r>
  </si>
  <si>
    <t>1.Customer Feedback Forms.
2.Lessons Learned</t>
  </si>
  <si>
    <r>
      <rPr>
        <b/>
        <sz val="10"/>
        <color theme="1"/>
        <rFont val="Arial"/>
        <family val="2"/>
      </rPr>
      <t>KR 2.1.4:</t>
    </r>
    <r>
      <rPr>
        <sz val="10"/>
        <color theme="1"/>
        <rFont val="Arial"/>
        <family val="2"/>
      </rPr>
      <t xml:space="preserve"> Ensure strong governance and control by achieving a minimum of 95% compliance in all internal and external audit assessments.</t>
    </r>
  </si>
  <si>
    <t>Audit Reports</t>
  </si>
  <si>
    <t>NAVIGATE CHALLENGES: 
Navigate Business, Project, Support, People, Operation Challenges</t>
  </si>
  <si>
    <r>
      <rPr>
        <b/>
        <sz val="10"/>
        <color theme="1"/>
        <rFont val="Arial"/>
        <family val="2"/>
      </rPr>
      <t>Objective 3.1:</t>
    </r>
    <r>
      <rPr>
        <sz val="10"/>
        <color theme="1"/>
        <rFont val="Arial"/>
        <family val="2"/>
      </rPr>
      <t xml:space="preserve"> Ensure timely and successful delivery of all projects by strengthening adherence to the established project delivery methodology.</t>
    </r>
  </si>
  <si>
    <r>
      <rPr>
        <b/>
        <sz val="10"/>
        <color theme="1"/>
        <rFont val="Arial"/>
        <family val="2"/>
      </rPr>
      <t xml:space="preserve">KR 3.1.1: </t>
    </r>
    <r>
      <rPr>
        <sz val="10"/>
        <color theme="1"/>
        <rFont val="Arial"/>
        <family val="2"/>
      </rPr>
      <t>Achieve 95% on-time delivery rate for all projects</t>
    </r>
  </si>
  <si>
    <t>PLM Dashboards</t>
  </si>
  <si>
    <r>
      <rPr>
        <b/>
        <sz val="10"/>
        <color theme="1"/>
        <rFont val="Arial"/>
        <family val="2"/>
      </rPr>
      <t>KR 3.1.2:</t>
    </r>
    <r>
      <rPr>
        <sz val="10"/>
        <color theme="1"/>
        <rFont val="Arial"/>
        <family val="2"/>
      </rPr>
      <t xml:space="preserve"> Achieve and maintain at least 95% compliance with the project management methodology and defined processes.</t>
    </r>
  </si>
  <si>
    <t>1. PM Processes and Procedures
2. Audit Reports</t>
  </si>
  <si>
    <r>
      <rPr>
        <b/>
        <sz val="10"/>
        <color theme="1"/>
        <rFont val="Arial"/>
        <family val="2"/>
      </rPr>
      <t xml:space="preserve">Objective 3.2: </t>
    </r>
    <r>
      <rPr>
        <sz val="10"/>
        <color theme="1"/>
        <rFont val="Arial"/>
        <family val="2"/>
      </rPr>
      <t>Improve customer satisfaction by implementing a structured feedback system, strengthening support protocols and continuously measuring and enhancing satisfaction after project delivery.</t>
    </r>
  </si>
  <si>
    <r>
      <rPr>
        <b/>
        <sz val="10"/>
        <color theme="1"/>
        <rFont val="Arial"/>
        <family val="2"/>
      </rPr>
      <t xml:space="preserve">KR 3.2.1: </t>
    </r>
    <r>
      <rPr>
        <sz val="10"/>
        <color theme="1"/>
        <rFont val="Arial"/>
        <family val="2"/>
      </rPr>
      <t>Collaborate with the SDM to establish and implement a standardized customer feedback system covering 100% of completed projects by the end of Q1.</t>
    </r>
  </si>
  <si>
    <t>CSAT Surveys</t>
  </si>
  <si>
    <r>
      <rPr>
        <b/>
        <sz val="10"/>
        <color theme="1"/>
        <rFont val="Arial"/>
        <family val="2"/>
      </rPr>
      <t>KR 3.2.2:</t>
    </r>
    <r>
      <rPr>
        <sz val="10"/>
        <color theme="1"/>
        <rFont val="Arial"/>
        <family val="2"/>
      </rPr>
      <t xml:space="preserve"> Ensure feedback collection within 30 days of 100% of project handovers.</t>
    </r>
  </si>
  <si>
    <r>
      <t>KR 3.2.3:</t>
    </r>
    <r>
      <rPr>
        <sz val="10"/>
        <color theme="1"/>
        <rFont val="Arial"/>
        <family val="2"/>
      </rPr>
      <t xml:space="preserve"> Achieve and sustain a 95% customer satisfaction score across all delivered projects.</t>
    </r>
  </si>
  <si>
    <r>
      <rPr>
        <b/>
        <sz val="10"/>
        <color theme="1"/>
        <rFont val="Arial"/>
        <family val="2"/>
      </rPr>
      <t>KR 3.2.4:</t>
    </r>
    <r>
      <rPr>
        <sz val="10"/>
        <color theme="1"/>
        <rFont val="Arial"/>
        <family val="2"/>
      </rPr>
      <t xml:space="preserve"> Identify and log improvement actions for 100% of feedback rated below agreed satisfaction thresholds, with corrective actions tracked and closed within 30 days.</t>
    </r>
  </si>
  <si>
    <t>Issue logs</t>
  </si>
  <si>
    <r>
      <rPr>
        <b/>
        <sz val="10"/>
        <color theme="1"/>
        <rFont val="Arial"/>
        <family val="2"/>
      </rPr>
      <t>Objective 3.3:</t>
    </r>
    <r>
      <rPr>
        <sz val="10"/>
        <color theme="1"/>
        <rFont val="Arial"/>
        <family val="2"/>
      </rPr>
      <t xml:space="preserve"> Optimize project profitability by improving operational efficiency across all projects.</t>
    </r>
  </si>
  <si>
    <r>
      <rPr>
        <b/>
        <sz val="10"/>
        <color theme="1"/>
        <rFont val="Arial"/>
        <family val="2"/>
      </rPr>
      <t xml:space="preserve">KR 3.3.1: </t>
    </r>
    <r>
      <rPr>
        <sz val="10"/>
        <color theme="1"/>
        <rFont val="Arial"/>
        <family val="2"/>
      </rPr>
      <t>100% of projects to have approved baselines for cost, scope and implementation budget at initiation</t>
    </r>
  </si>
  <si>
    <t>1. SOW Document
2. Implementation Budget
3. Project Initiation Report</t>
  </si>
  <si>
    <r>
      <rPr>
        <b/>
        <sz val="10"/>
        <color theme="1"/>
        <rFont val="Arial"/>
        <family val="2"/>
      </rPr>
      <t>KR 3.3.2:</t>
    </r>
    <r>
      <rPr>
        <sz val="10"/>
        <color theme="1"/>
        <rFont val="Arial"/>
        <family val="2"/>
      </rPr>
      <t xml:space="preserve"> Deliver 95% of projects within approved budgets while maintaining margin variance of ≤5%, tracked and reported monthly.</t>
    </r>
  </si>
  <si>
    <t>Project Implementation Budget</t>
  </si>
  <si>
    <r>
      <rPr>
        <b/>
        <sz val="10"/>
        <color theme="1"/>
        <rFont val="Arial"/>
        <family val="2"/>
      </rPr>
      <t>KR 3.3.3:</t>
    </r>
    <r>
      <rPr>
        <sz val="10"/>
        <color theme="1"/>
        <rFont val="Arial"/>
        <family val="2"/>
      </rPr>
      <t xml:space="preserve"> Eliminate 95% of cost overruns for rework and scope-related margin erosion, through strengthened change control and delivery governance.</t>
    </r>
  </si>
  <si>
    <t>1.Change Management Process
2. PM Processes and Procedures</t>
  </si>
  <si>
    <r>
      <rPr>
        <b/>
        <sz val="10"/>
        <rFont val="Arial"/>
        <family val="2"/>
      </rPr>
      <t>Objective 3.4</t>
    </r>
    <r>
      <rPr>
        <sz val="10"/>
        <rFont val="Arial"/>
        <family val="2"/>
      </rPr>
      <t xml:space="preserve">:Drive employee retention of high skilled resources through employee engagements, regular check-ins, career development opportunities, and work-life balance initiatives
 </t>
    </r>
  </si>
  <si>
    <r>
      <rPr>
        <b/>
        <sz val="10"/>
        <color theme="1"/>
        <rFont val="Arial"/>
        <family val="2"/>
      </rPr>
      <t>KR 3.4.1:</t>
    </r>
    <r>
      <rPr>
        <sz val="10"/>
        <color theme="1"/>
        <rFont val="Arial"/>
        <family val="2"/>
      </rPr>
      <t xml:space="preserve"> Ensure 100% of PMO staff have documented career development and capability plans, aligned to certification paths in DNA document.</t>
    </r>
  </si>
  <si>
    <t>1. DNA document
2. Approved Training Plan and Budget</t>
  </si>
  <si>
    <r>
      <rPr>
        <b/>
        <sz val="10"/>
        <color theme="1"/>
        <rFont val="Arial"/>
        <family val="2"/>
      </rPr>
      <t xml:space="preserve">KR 3.4.2: </t>
    </r>
    <r>
      <rPr>
        <sz val="10"/>
        <color theme="1"/>
        <rFont val="Arial"/>
        <family val="2"/>
      </rPr>
      <t>Foster team collaboration by conducting bi-weekly meetings with 100% completed action items</t>
    </r>
  </si>
  <si>
    <t>Meeting Invite; Teams/ Physical</t>
  </si>
  <si>
    <r>
      <rPr>
        <b/>
        <sz val="10"/>
        <color theme="1"/>
        <rFont val="Arial"/>
        <family val="2"/>
      </rPr>
      <t xml:space="preserve">KR 3.4.3: </t>
    </r>
    <r>
      <rPr>
        <sz val="10"/>
        <color theme="1"/>
        <rFont val="Arial"/>
        <family val="2"/>
      </rPr>
      <t>Ensure 100% of high-skilled PMO and technical staff take their annual leave as planned, through proactive leave scheduling and project resource planning, with zero critical project disruptions attributed to leave gaps.</t>
    </r>
  </si>
  <si>
    <t>Annual Leave Plan</t>
  </si>
  <si>
    <t>ALL</t>
  </si>
  <si>
    <t>SERVICE DELIVERY - 
DEPARTMENTAL OBJECTIVES</t>
  </si>
  <si>
    <t>SEIZE OPPORTUNITIES</t>
  </si>
  <si>
    <t>Enable successful capture and delivery of transformational digital projects in the Public Sector and BFSI by ensuring operational readiness, SLA compliance, and sustainable service delivery.</t>
  </si>
  <si>
    <r>
      <rPr>
        <b/>
        <sz val="10"/>
        <color theme="1"/>
        <rFont val="Arial"/>
        <family val="2"/>
      </rPr>
      <t>KR1.1:</t>
    </r>
    <r>
      <rPr>
        <sz val="10"/>
        <color theme="1"/>
        <rFont val="Arial"/>
        <family val="2"/>
      </rPr>
      <t xml:space="preserve">Draft SLA and service support models for all proposals, ensuring 100% of the submitted SLA's pass technical evaluation. </t>
    </r>
  </si>
  <si>
    <t>Create the SLA template including all KPIs, responsibilities, escalation matrix, and risk mitigation measures.</t>
  </si>
  <si>
    <t>Service Level Agreement</t>
  </si>
  <si>
    <t>DRIVE BUSINESS SUSTAINABILITY</t>
  </si>
  <si>
    <t>Strengthen customer loyalty and long-term relationships by improving service delivery quality, enhancing customer engagement, upgrading customer support operations, and implementing feedback mechanisms to continuously refine support services over the next 12 months.</t>
  </si>
  <si>
    <r>
      <rPr>
        <b/>
        <sz val="10"/>
        <color theme="1"/>
        <rFont val="Arial"/>
        <family val="2"/>
      </rPr>
      <t>KR:</t>
    </r>
    <r>
      <rPr>
        <sz val="10"/>
        <color theme="1"/>
        <rFont val="Arial"/>
        <family val="2"/>
      </rPr>
      <t>Achieve and sustain a ≥ 95% customer retention rate across all existing clients.</t>
    </r>
  </si>
  <si>
    <t>Maintain ≥ 95% SLA compliance by resolving and closing tickets within agreed timelines and closing all SLA breach corrective actions within set deadlines.</t>
  </si>
  <si>
    <r>
      <rPr>
        <b/>
        <sz val="10"/>
        <color theme="1"/>
        <rFont val="Arial"/>
        <family val="2"/>
      </rPr>
      <t>KR:</t>
    </r>
    <r>
      <rPr>
        <sz val="10"/>
        <color theme="1"/>
        <rFont val="Arial"/>
        <family val="2"/>
      </rPr>
      <t>Improve overall customer experience, achieving a ≥ 95% customer satisfaction (CSAT) score across service reviews and surveys.</t>
    </r>
  </si>
  <si>
    <t>Conduct regular Service Review Meetings and ensure 100% CSAT surveys are triggered for resolved tickets, with active follow-up to capture client feedback.</t>
  </si>
  <si>
    <t>PLM Tool
Service Review Minutes</t>
  </si>
  <si>
    <r>
      <rPr>
        <b/>
        <sz val="10"/>
        <color theme="1"/>
        <rFont val="Arial"/>
        <family val="2"/>
      </rPr>
      <t>KR:</t>
    </r>
    <r>
      <rPr>
        <sz val="10"/>
        <color theme="1"/>
        <rFont val="Arial"/>
        <family val="2"/>
      </rPr>
      <t>Ensure 100% of Health Checks are validated with zero critical issues unaddressed within a month.</t>
    </r>
  </si>
  <si>
    <t>Oversee the completion of scheduled Health Checks for all critical systems as per the SLA calendar and ensure findings are documented, reviewed, and addressed in a standardized template.</t>
  </si>
  <si>
    <t xml:space="preserve">Health Check Shedule </t>
  </si>
  <si>
    <r>
      <rPr>
        <b/>
        <sz val="10"/>
        <color theme="1"/>
        <rFont val="Arial"/>
        <family val="2"/>
      </rPr>
      <t>KR:</t>
    </r>
    <r>
      <rPr>
        <sz val="10"/>
        <color theme="1"/>
        <rFont val="Arial"/>
        <family val="2"/>
      </rPr>
      <t>Close 100% of SLA breach corrective actions within the set timelines.</t>
    </r>
  </si>
  <si>
    <t>Monitor SLA performance daily, track all breach corrective actions, and ensure responsible teams complete them within the agreed timelines.</t>
  </si>
  <si>
    <r>
      <rPr>
        <b/>
        <sz val="10"/>
        <color theme="1"/>
        <rFont val="Arial"/>
        <family val="2"/>
      </rPr>
      <t>KR:</t>
    </r>
    <r>
      <rPr>
        <sz val="10"/>
        <color theme="1"/>
        <rFont val="Arial"/>
        <family val="2"/>
      </rPr>
      <t>Maintain ≥95% of tickets resolved and closed within SLA timelines.</t>
    </r>
  </si>
  <si>
    <t>Assign tickets promptly to appropriate engineers for resolution.</t>
  </si>
  <si>
    <r>
      <rPr>
        <b/>
        <sz val="10"/>
        <color theme="1"/>
        <rFont val="Arial"/>
        <family val="2"/>
      </rPr>
      <t xml:space="preserve">KR: </t>
    </r>
    <r>
      <rPr>
        <sz val="10"/>
        <color theme="1"/>
        <rFont val="Arial"/>
        <family val="2"/>
      </rPr>
      <t>Ensure 100% of all resolved incidents have a Root Cause Analysis (RCA) completed within 3 business days and corrective actions assigned.</t>
    </r>
  </si>
  <si>
    <t>Define and communicate deadlines: RCA must be completed within 3 business days.
Review completed RCA reports to ensure completeness and accuracy.</t>
  </si>
  <si>
    <t>Ensure consistent quality and compliance as per the ISO and ITIL  standardizations</t>
  </si>
  <si>
    <r>
      <rPr>
        <b/>
        <sz val="10"/>
        <color theme="1"/>
        <rFont val="Arial"/>
        <family val="2"/>
      </rPr>
      <t xml:space="preserve">KR: </t>
    </r>
    <r>
      <rPr>
        <sz val="10"/>
        <color theme="1"/>
        <rFont val="Arial"/>
        <family val="2"/>
      </rPr>
      <t>Achieve zero major non-conformities in all audits.</t>
    </r>
  </si>
  <si>
    <t>Esure all critical processes comply with ISO and ITIL standards, using standardized checklists for Incident, Problem, Change, and Service Level Management.</t>
  </si>
  <si>
    <t>Microsoft</t>
  </si>
  <si>
    <r>
      <rPr>
        <b/>
        <sz val="10"/>
        <color theme="1"/>
        <rFont val="Arial"/>
        <family val="2"/>
      </rPr>
      <t>KR:</t>
    </r>
    <r>
      <rPr>
        <sz val="10"/>
        <color theme="1"/>
        <rFont val="Arial"/>
        <family val="2"/>
      </rPr>
      <t xml:space="preserve"> Reduce repeat non-conformities by at least 10% from the previous audit cycle.</t>
    </r>
  </si>
  <si>
    <t>Monitor audit findings, track corrective actions, and coordinate with process owners to implement preventive measures for recurring non-conformities.</t>
  </si>
  <si>
    <t>NAVIGATE CHALLENGES</t>
  </si>
  <si>
    <r>
      <t xml:space="preserve">Minimize post-handover service issues for completed projects within the first month by strengthening follow-up and collaboration with support teams.
</t>
    </r>
    <r>
      <rPr>
        <b/>
        <i/>
        <sz val="10"/>
        <color theme="1"/>
        <rFont val="Arial"/>
        <family val="2"/>
      </rPr>
      <t>(Add another KR for Project Delivery Satsifaction Survey)</t>
    </r>
  </si>
  <si>
    <r>
      <rPr>
        <b/>
        <sz val="10"/>
        <color theme="1"/>
        <rFont val="Arial"/>
        <family val="2"/>
      </rPr>
      <t>KR:</t>
    </r>
    <r>
      <rPr>
        <sz val="10"/>
        <color theme="1"/>
        <rFont val="Arial"/>
        <family val="2"/>
      </rPr>
      <t>Achieve 100% resolution of pending issues identified during project handover within the first month.</t>
    </r>
  </si>
  <si>
    <t>Schedule and oversee project review meetings after each project handover, track all pending issues, and ensure support teams resolve them within the timeline.</t>
  </si>
  <si>
    <t>Enhance team skills and service delivery capability through structured training programs</t>
  </si>
  <si>
    <r>
      <rPr>
        <b/>
        <sz val="10"/>
        <color theme="1"/>
        <rFont val="Arial"/>
        <family val="2"/>
      </rPr>
      <t xml:space="preserve">KR: </t>
    </r>
    <r>
      <rPr>
        <sz val="10"/>
        <color theme="1"/>
        <rFont val="Arial"/>
        <family val="2"/>
      </rPr>
      <t>Conduct quarterly ITIL and service management knowledge-sharing sessions for 100% of engineering and support staff.</t>
    </r>
  </si>
  <si>
    <t>Identify critical ITIL processes and procedures each quarter (Incident, Problem, Change, Service Request Management) and ensure knowledge-sharing sessions are scheduled and attended.</t>
  </si>
  <si>
    <r>
      <rPr>
        <b/>
        <sz val="10"/>
        <color theme="1"/>
        <rFont val="Arial"/>
        <family val="2"/>
      </rPr>
      <t xml:space="preserve">KR: </t>
    </r>
    <r>
      <rPr>
        <sz val="10"/>
        <color theme="1"/>
        <rFont val="Arial"/>
        <family val="2"/>
      </rPr>
      <t>Ensure to do a service management and ITIL training each quarter or any other relevant training aligned with service delivery.</t>
    </r>
  </si>
  <si>
    <t>Schedule and attend professional development courses, track progress, and apply learnings to improve service delivery, team management, and process oversight.</t>
  </si>
  <si>
    <r>
      <rPr>
        <b/>
        <sz val="10"/>
        <color theme="1"/>
        <rFont val="Arial"/>
        <family val="2"/>
      </rPr>
      <t xml:space="preserve">KR: </t>
    </r>
    <r>
      <rPr>
        <sz val="10"/>
        <color theme="1"/>
        <rFont val="Arial"/>
        <family val="2"/>
      </rPr>
      <t>Ensure SD Team of staff take at least 2 weeks of continuous annual leave to support well-being and work-life balance.</t>
    </r>
  </si>
  <si>
    <t>Create  leave schedules and  encourage team members to comply.</t>
  </si>
  <si>
    <t>Achieved, Meets Expectations</t>
  </si>
  <si>
    <t>KNS Objectives</t>
  </si>
  <si>
    <t>Objective Weight</t>
  </si>
  <si>
    <t>Engineering [BU/FU] Objectives</t>
  </si>
  <si>
    <t>ANNUAL KEY RESULTS &amp; PROJECTS </t>
  </si>
  <si>
    <t>ACTION TO BE DONE</t>
  </si>
  <si>
    <t>KEY RESULT CHECK-IN FREQUENCY</t>
  </si>
  <si>
    <t>KR Weights</t>
  </si>
  <si>
    <t>Measure - Annual Target</t>
  </si>
  <si>
    <t xml:space="preserve">Develop technical capacity on IT infrastructure solutions supporting Public Sector Digital Transformation initiatives &amp; Zero Trust Solutions for BFSIs
</t>
  </si>
  <si>
    <t>Achieve 25% of the Training and OEM Certification as per the OEM Training Plan developed  by pre-sales to achieve the required partnership level.</t>
  </si>
  <si>
    <t>Quarterly</t>
  </si>
  <si>
    <t>Align with presales for solutions that require Research and development</t>
  </si>
  <si>
    <t>Achieve a 75% reduction in reliance on OEM professional services for upcoming solution and project deployments by Q4 through enhanced in‑house technical expertise.</t>
  </si>
  <si>
    <t xml:space="preserve"> Attain at least 1 Transition from one level to another as per the DNA matrix by Q4</t>
  </si>
  <si>
    <t>Review Training, Support , Project implementation task,</t>
  </si>
  <si>
    <t>Objective Sub-total</t>
  </si>
  <si>
    <t>2.1  Ensure Excellent project delivery experience to our customers</t>
  </si>
  <si>
    <t xml:space="preserve">Successfully close at least 95% of projects within the stipulated timeline and implementation budget.
</t>
  </si>
  <si>
    <t xml:space="preserve">2.1.1.1 Collaborate with the PMO team to create and implement a realistic project plan with clear, trackable activities and timelines for 100% of new Projects. 
2.1.1.2 Ensure that 95% of task are assigned to engineer on PLM  and are closed on time
2.1.1.3 Ensure 100% of project risks and issue are raised within the task timeline. 
</t>
  </si>
  <si>
    <t>Maintain engineering delivery costs within ±10% of the approved implementation and support budget</t>
  </si>
  <si>
    <t xml:space="preserve">Customer Satisfaction on Project delivery &amp; support tickets of 95%. </t>
  </si>
  <si>
    <t>2.2 Ensure Excellent Support and Proactive customer engagement.</t>
  </si>
  <si>
    <t xml:space="preserve"> Ensure  98% of  tickets  raised are attended to and closed within the stipulated SLA, with the required RCA shared within 2 days.</t>
  </si>
  <si>
    <t>2.2.1.1 Respond/Acknowledge , Update, Resolve to and act on tickets within 2 hours of engagement, resolving or escalating them promptly. Ensure that RCAs are provided within 24 hours after ticket closure. Customer Satisfaction Rating.</t>
  </si>
  <si>
    <t>Quartely</t>
  </si>
  <si>
    <t>Objectve2 Sub-Total</t>
  </si>
  <si>
    <t>3.1  Equip our technical team to implement and maintain research-driven market solutions that maximize efficiency and effectiveness.</t>
  </si>
  <si>
    <t>3.1.1Attain 95% completion of the annual training plan, covering technical research, industry and professional certifications, leadership development, and soft‑skills enhancement by Q4.</t>
  </si>
  <si>
    <t xml:space="preserve">3.1.1.1 Ensure each team member is on track with the Scheduled trainings. </t>
  </si>
  <si>
    <t>3.2 Cultivate a cohesive team environment by prioritizing employee well-being, investing in their professional development, and facilitating opportunities for connection and collaboration.</t>
  </si>
  <si>
    <t xml:space="preserve">3.2.1  Achieve 95% attendance on all scheduled departmental and organization meetings </t>
  </si>
  <si>
    <t>3.2.1.1 Maintain a calendar schedule for regular physical meetings</t>
  </si>
  <si>
    <t xml:space="preserve">3.2.2 Ensure all of team members schedule and take at least 10 annual leave days and submit a handover report before leave. </t>
  </si>
  <si>
    <t>3.2.3 Achieve atleast 85 % participation in team /company scheduled social activities</t>
  </si>
  <si>
    <t>Objective 3 Sub-total</t>
  </si>
  <si>
    <t>HR &amp; ADMIN.
DEPARTMENTAL OBJECTIVES</t>
  </si>
  <si>
    <t>SEIZE Opportinities</t>
  </si>
  <si>
    <r>
      <rPr>
        <b/>
        <sz val="10"/>
        <color rgb="FF000000"/>
        <rFont val="Arial"/>
        <family val="2"/>
      </rPr>
      <t xml:space="preserve">Objective 1: </t>
    </r>
    <r>
      <rPr>
        <sz val="9"/>
        <color rgb="FF000000"/>
        <rFont val="Arial"/>
        <family val="2"/>
      </rPr>
      <t>Attract, develop and retain top talent with expertise in Technical, digital and cybersecurity for mega tansformational projects</t>
    </r>
  </si>
  <si>
    <t>KR1.1: Ensure at least 80% upward skill level mobility for all staff as per the 'DNA Matrix' by end of the year.</t>
  </si>
  <si>
    <r>
      <rPr>
        <b/>
        <sz val="9"/>
        <color rgb="FF000000"/>
        <rFont val="Arial"/>
        <family val="2"/>
      </rPr>
      <t xml:space="preserve">1.Review &amp; update the DNA Skill Matrix.
</t>
    </r>
    <r>
      <rPr>
        <sz val="9"/>
        <color rgb="FF000000"/>
        <rFont val="Arial"/>
        <family val="2"/>
      </rPr>
      <t xml:space="preserve">2. </t>
    </r>
    <r>
      <rPr>
        <b/>
        <sz val="9"/>
        <color rgb="FF000000"/>
        <rFont val="Arial"/>
        <family val="2"/>
      </rPr>
      <t xml:space="preserve">Establish training budgets where applicable
</t>
    </r>
    <r>
      <rPr>
        <sz val="9"/>
        <color rgb="FF000000"/>
        <rFont val="Arial"/>
        <family val="2"/>
      </rPr>
      <t>3. Sign-off the agreed Training programs.
4. Track and report.</t>
    </r>
  </si>
  <si>
    <t>Ms Excel Tracker</t>
  </si>
  <si>
    <t>IK-60%
WO-40%</t>
  </si>
  <si>
    <t>KR1.2: Build a talent pipeline of at least 30 qualified candidates in critical skill areas per quarter.</t>
  </si>
  <si>
    <r>
      <rPr>
        <b/>
        <sz val="9"/>
        <color rgb="FF000000"/>
        <rFont val="Arial"/>
        <family val="2"/>
      </rPr>
      <t xml:space="preserve">1. Determine critical skill areas and roles.
2. Establish the existing skill gaps.
</t>
    </r>
    <r>
      <rPr>
        <sz val="9"/>
        <color rgb="FF000000"/>
        <rFont val="Arial"/>
        <family val="2"/>
      </rPr>
      <t>3. Enroll candidates &amp; train.
4. Evaluate qualification.</t>
    </r>
  </si>
  <si>
    <t>TEEDU</t>
  </si>
  <si>
    <t>IK-50%
WO(AN)-50%</t>
  </si>
  <si>
    <t>KR:1.3: Fill 90% of the critical roles that fall vacant within 50 days upon approval to replace.</t>
  </si>
  <si>
    <r>
      <rPr>
        <sz val="9"/>
        <color rgb="FF000000"/>
        <rFont val="Arial"/>
        <family val="2"/>
      </rPr>
      <t>1. Advertise the vacancy (</t>
    </r>
    <r>
      <rPr>
        <b/>
        <sz val="9"/>
        <color rgb="FF000000"/>
        <rFont val="Arial"/>
        <family val="2"/>
      </rPr>
      <t xml:space="preserve">either internal or external).
</t>
    </r>
    <r>
      <rPr>
        <sz val="9"/>
        <color rgb="FF000000"/>
        <rFont val="Arial"/>
        <family val="2"/>
      </rPr>
      <t>2. Interview and qualify.
3. Issue contract.</t>
    </r>
  </si>
  <si>
    <t>PLM Task Report</t>
  </si>
  <si>
    <t>TBD</t>
  </si>
  <si>
    <t>IK-40%
WO-60%</t>
  </si>
  <si>
    <r>
      <rPr>
        <b/>
        <sz val="10"/>
        <color rgb="FF000000"/>
        <rFont val="Arial"/>
        <family val="2"/>
      </rPr>
      <t>Objective 2.0</t>
    </r>
    <r>
      <rPr>
        <sz val="10"/>
        <color rgb="FF000000"/>
        <rFont val="Arial"/>
        <family val="2"/>
      </rPr>
      <t>: Foster a culture of business sustainability within the organization</t>
    </r>
  </si>
  <si>
    <t>KR 2.1: Reduce HR/admin. operating costs by 10% through monthly monitoring of cost drivers and implementing three cost‑mitigating practices, by Q4.</t>
  </si>
  <si>
    <t>1. Establish cost drivers and previous period baseline. 
2. Establish opportunities for cost mitigation.
3. Monitor and report on monthly basis.</t>
  </si>
  <si>
    <t xml:space="preserve">MS Excel  </t>
  </si>
  <si>
    <t>WO-80%
IK_20%</t>
  </si>
  <si>
    <t>KR2.2: Complete and approve the 2026 HR &amp; Admin budget by Q1, and ensure it is tracked during the year.</t>
  </si>
  <si>
    <t>1. Develop HR related budget for the period.
2. Review with Finance.
3. Present for approval.
4. Track and Report monthly.</t>
  </si>
  <si>
    <t>IK-80%
WO-20%</t>
  </si>
  <si>
    <r>
      <rPr>
        <b/>
        <sz val="9"/>
        <color rgb="FF000000"/>
        <rFont val="Arial"/>
        <family val="2"/>
      </rPr>
      <t xml:space="preserve">Objective 3.1: </t>
    </r>
    <r>
      <rPr>
        <sz val="9"/>
        <color rgb="FF000000"/>
        <rFont val="Arial"/>
        <family val="2"/>
      </rPr>
      <t>Drive employee performance with clear goals that boost productivity, ensure accountability, through real-time data-driven feedback.</t>
    </r>
  </si>
  <si>
    <t>KR3.1.1: Ensure 100% of employees have documented JDs &amp; performance goals within first month of the year or their joining.</t>
  </si>
  <si>
    <r>
      <rPr>
        <sz val="9"/>
        <color rgb="FF000000"/>
        <rFont val="Arial"/>
        <family val="2"/>
      </rPr>
      <t xml:space="preserve">1. Review existing JDs for relevance.
</t>
    </r>
    <r>
      <rPr>
        <b/>
        <sz val="9"/>
        <color rgb="FF000000"/>
        <rFont val="Arial"/>
        <family val="2"/>
      </rPr>
      <t xml:space="preserve">2. Ensure every employee has signed off performance goals for the period.
</t>
    </r>
    <r>
      <rPr>
        <sz val="9"/>
        <color rgb="FF000000"/>
        <rFont val="Arial"/>
        <family val="2"/>
      </rPr>
      <t>3. Ensure every new employee has a JD in place.
4. Audit existing employee files to ensure each has a JD &amp; performance goals.</t>
    </r>
  </si>
  <si>
    <t>Ms. Excel &amp; Word</t>
  </si>
  <si>
    <t>KR3.1.2: Achieve 100% completion rate of quarterly goal reviews across all departments.</t>
  </si>
  <si>
    <t>1. Set Reviews Calendar.
2. Communicate to staff 2 weeks prior to end of quarter.
3. Ensure review process compliance with Team Leads.
4.  Analyse and compile Management reports.</t>
  </si>
  <si>
    <t>Ms Teams calendar
Ms. Excel/PLM</t>
  </si>
  <si>
    <t>IK-100%</t>
  </si>
  <si>
    <t>KR3.1.3: Implement a real-time performance dashboard accessible to managers and employees by Q1 2026.</t>
  </si>
  <si>
    <t>1. Assign dedicated staffs/resources to develop/refine the PLM
2. Gather and provide system requirements from users and relevant tooling.
3. Review and train staff on the tool.</t>
  </si>
  <si>
    <t>PLM</t>
  </si>
  <si>
    <t>KR3.1.4: Boost productivity and achieve 95% on-time delivery through clear goals, performance tracking, adequte staffing, training, recognition, and work-tools.</t>
  </si>
  <si>
    <r>
      <rPr>
        <sz val="9"/>
        <color rgb="FF000000"/>
        <rFont val="Arial"/>
        <family val="2"/>
      </rPr>
      <t xml:space="preserve">1. Ensure staff understand their role expectations.
2. Ensure set trainings are undertaken.
3. Track performance &amp; report.
4. Ensure all staff have sufficient work tools.
</t>
    </r>
    <r>
      <rPr>
        <b/>
        <sz val="9"/>
        <color rgb="FF000000"/>
        <rFont val="Arial"/>
        <family val="2"/>
      </rPr>
      <t>5. Set a recognition &amp; reward system/program.
6. Review work-load for right staffing.</t>
    </r>
    <r>
      <rPr>
        <sz val="9"/>
        <color rgb="FF000000"/>
        <rFont val="Arial"/>
        <family val="2"/>
      </rPr>
      <t xml:space="preserve"> </t>
    </r>
  </si>
  <si>
    <r>
      <rPr>
        <b/>
        <sz val="9"/>
        <color rgb="FF000000"/>
        <rFont val="Arial"/>
        <family val="2"/>
      </rPr>
      <t xml:space="preserve">Objective 3.2: </t>
    </r>
    <r>
      <rPr>
        <sz val="9"/>
        <color rgb="FF000000"/>
        <rFont val="Arial"/>
        <family val="2"/>
      </rPr>
      <t xml:space="preserve">Build a culture of engagement that empowers employees, supports well‑being, and drives retention, productivity, and organizational performance.
</t>
    </r>
    <r>
      <rPr>
        <sz val="12"/>
        <color rgb="FF000000"/>
        <rFont val="Arial"/>
        <family val="2"/>
      </rPr>
      <t xml:space="preserve"> </t>
    </r>
  </si>
  <si>
    <t>KR3.2.1: Maintaining yealy employee retention rate of at least 95% of critical roles.</t>
  </si>
  <si>
    <r>
      <rPr>
        <b/>
        <sz val="9"/>
        <color rgb="FF000000"/>
        <rFont val="Arial"/>
        <family val="2"/>
      </rPr>
      <t xml:space="preserve">1. Initiate regular one-on-one with the staff.
2. Define career paths for the different roles.
3. Refine compensation &amp; benefits structure.
</t>
    </r>
    <r>
      <rPr>
        <sz val="9"/>
        <color rgb="FF000000"/>
        <rFont val="Arial"/>
        <family val="2"/>
      </rPr>
      <t xml:space="preserve">4. Strengthen collaboration initiatives - teambuilding activities, celebrate achievements, etc.
</t>
    </r>
    <r>
      <rPr>
        <b/>
        <sz val="9"/>
        <color rgb="FF000000"/>
        <rFont val="Arial"/>
        <family val="2"/>
      </rPr>
      <t xml:space="preserve">5. Introduce supportive/work-life balance arrangements
</t>
    </r>
    <r>
      <rPr>
        <sz val="9"/>
        <color rgb="FF000000"/>
        <rFont val="Arial"/>
        <family val="2"/>
      </rPr>
      <t>6. Conduct retention risk analysis &amp; review turnover trends.</t>
    </r>
  </si>
  <si>
    <t>KR3.2.2. Achieve a 90% employee satisfaction rate by Q4 2026 through strengthened communication, career development, benefits, and fair workplace practices.</t>
  </si>
  <si>
    <r>
      <rPr>
        <sz val="9"/>
        <color rgb="FF000000"/>
        <rFont val="Arial"/>
        <family val="2"/>
      </rPr>
      <t xml:space="preserve">1.Run quarterly employee engagement surveys.
</t>
    </r>
    <r>
      <rPr>
        <b/>
        <sz val="9"/>
        <color rgb="FF000000"/>
        <rFont val="Arial"/>
        <family val="2"/>
      </rPr>
      <t xml:space="preserve">2. Have at least a biannual town halls to share company updates.
3. Review &amp; communicate the 'DNA Matrix' for career Development.
</t>
    </r>
    <r>
      <rPr>
        <sz val="9"/>
        <color rgb="FF000000"/>
        <rFont val="Arial"/>
        <family val="2"/>
      </rPr>
      <t>4. Conduct quarterly employee wellness program.</t>
    </r>
  </si>
  <si>
    <t>Ms. Forms</t>
  </si>
  <si>
    <t>IK-50%
WO-50%</t>
  </si>
  <si>
    <t>KR3.2.3: Achieve participation in engagement &amp; well-being initiatives to 85% of staff across all departments.</t>
  </si>
  <si>
    <t>1. Plan (consult as necessary) and communicate the various initiatives in place.
2. Track attendance/participation.</t>
  </si>
  <si>
    <t>WO-100%</t>
  </si>
  <si>
    <t>KR3.2.4: Achieve 90% positive feedback by Deliverying exceptional workplace experience for employees and visitors.</t>
  </si>
  <si>
    <t>1. Conduct /share trainings on customer service
2. Conduct customer satisfaction surveys
3. Review performance</t>
  </si>
  <si>
    <t xml:space="preserve">Online resources, one-on-ones, </t>
  </si>
  <si>
    <t>ZW &amp;AK</t>
  </si>
  <si>
    <r>
      <rPr>
        <b/>
        <sz val="9"/>
        <color theme="1"/>
        <rFont val="Arial"/>
        <family val="2"/>
      </rPr>
      <t>Objective 3.3:</t>
    </r>
    <r>
      <rPr>
        <sz val="9"/>
        <color theme="1"/>
        <rFont val="Arial"/>
        <family val="2"/>
      </rPr>
      <t xml:space="preserve"> Ensure ISO standards are effectively implemented across the Organization.</t>
    </r>
  </si>
  <si>
    <t>KR3.3.1: Undertake external audits with zero major non‑conformities in 2026.</t>
  </si>
  <si>
    <r>
      <rPr>
        <sz val="9"/>
        <color rgb="FF000000"/>
        <rFont val="Arial"/>
        <family val="2"/>
      </rPr>
      <t xml:space="preserve">1. Develop calendar of ISO activities.
</t>
    </r>
    <r>
      <rPr>
        <b/>
        <sz val="9"/>
        <color rgb="FF000000"/>
        <rFont val="Arial"/>
        <family val="2"/>
      </rPr>
      <t xml:space="preserve">2. Sensitize process owners of ISO expectations.
</t>
    </r>
    <r>
      <rPr>
        <sz val="9"/>
        <color rgb="FF000000"/>
        <rFont val="Arial"/>
        <family val="2"/>
      </rPr>
      <t xml:space="preserve">3. Review ISO objectives, Processes &amp; Risks and share reports.
</t>
    </r>
    <r>
      <rPr>
        <b/>
        <sz val="9"/>
        <color rgb="FF000000"/>
        <rFont val="Arial"/>
        <family val="2"/>
      </rPr>
      <t xml:space="preserve">4. Conduct Management Review of ISO performance.
</t>
    </r>
    <r>
      <rPr>
        <sz val="9"/>
        <color rgb="FF000000"/>
        <rFont val="Arial"/>
        <family val="2"/>
      </rPr>
      <t>5. Close non-conformities.</t>
    </r>
  </si>
  <si>
    <t>Ms Word, MS Excel</t>
  </si>
  <si>
    <t>KR3.3.2: Conduct by-annual internal audits with corrective actions closed within 30 days.</t>
  </si>
  <si>
    <t>1. Review the Internal Audit schedule.
2. Assign Auditors to conduct the Audits.
3. Review audit reports and take corrective actions.</t>
  </si>
  <si>
    <t>Audit plan</t>
  </si>
  <si>
    <t>KR3.3.3: Reach 90% employee awareness score in ISO compliance survey.</t>
  </si>
  <si>
    <t>1. Create training  awareness sessions calendar 
2. Assign champions to facilitate various training sessions
3. Prepare training evaluation forms for the respective trainngs
4. Review feedback and action as necessary</t>
  </si>
  <si>
    <t>Ms Excel &amp; Forms</t>
  </si>
  <si>
    <t>KR3.3.4: Reduce repeat non‑conformities by 70% compared to the previous audit cycle.</t>
  </si>
  <si>
    <t>1. Review and ensure closure previous audits fidings
(Ensure RCA, Corrective  Actions and OFIs are closed and their effectiveness validated)</t>
  </si>
  <si>
    <t>Ms Excel &amp; Word</t>
  </si>
  <si>
    <t>WO-70%
IK-30%</t>
  </si>
  <si>
    <t>Exceptional Performer</t>
  </si>
  <si>
    <t>Excellent, exceeds  expectation</t>
  </si>
  <si>
    <t>Achieved, Meets expectations</t>
  </si>
  <si>
    <t>FINANCE &amp; PROCUREMENT: CONSOLIDATED DEPARTMENTAL PERFORMANCE PLAN 2026</t>
  </si>
  <si>
    <t>Org. Objectives</t>
  </si>
  <si>
    <t>DEPT WEIGHT (%)</t>
  </si>
  <si>
    <t>Consolidated Key Results (KR)</t>
  </si>
  <si>
    <t>Key Actions (By Role)</t>
  </si>
  <si>
    <t>Objective 1: Enable Strategic Growth (4B Revenue Target)</t>
  </si>
  <si>
    <t>KR 1.1: 100% Capital &amp; Project Funding Availability.</t>
  </si>
  <si>
    <r>
      <t>HoF:</t>
    </r>
    <r>
      <rPr>
        <sz val="9"/>
        <color theme="1"/>
        <rFont val="Aptos Narrow"/>
        <family val="2"/>
      </rPr>
      <t xml:space="preserve"> Negotiate Bank Guarantees &amp; LCs; 
</t>
    </r>
    <r>
      <rPr>
        <b/>
        <sz val="9"/>
        <color theme="1"/>
        <rFont val="Aptos Narrow"/>
        <family val="2"/>
      </rPr>
      <t>FM:</t>
    </r>
    <r>
      <rPr>
        <sz val="9"/>
        <color theme="1"/>
        <rFont val="Aptos Narrow"/>
        <family val="2"/>
      </rPr>
      <t xml:space="preserve"> Prepare Cash Forecasts for Bank reporting; 
</t>
    </r>
    <r>
      <rPr>
        <b/>
        <sz val="9"/>
        <color theme="1"/>
        <rFont val="Aptos Narrow"/>
        <family val="2"/>
      </rPr>
      <t>AP:</t>
    </r>
    <r>
      <rPr>
        <sz val="9"/>
        <color theme="1"/>
        <rFont val="Aptos Narrow"/>
        <family val="2"/>
      </rPr>
      <t> Maintain Disti credit via weekly recs.</t>
    </r>
  </si>
  <si>
    <t>Banking Portals, Supplier Statements</t>
  </si>
  <si>
    <t>0 Project Stoppages due to Funding</t>
  </si>
  <si>
    <t>KR 1.2: 100% Pre-Bid Risk &amp; Margin Validation.</t>
  </si>
  <si>
    <r>
      <t>FM:</t>
    </r>
    <r>
      <rPr>
        <sz val="9"/>
        <color theme="1"/>
        <rFont val="Aptos Narrow"/>
        <family val="2"/>
      </rPr>
      <t xml:space="preserve"> Audit Pre-Sales BoMs for Tax/Forex accuracy; 
</t>
    </r>
    <r>
      <rPr>
        <b/>
        <sz val="9"/>
        <color theme="1"/>
        <rFont val="Aptos Narrow"/>
        <family val="2"/>
      </rPr>
      <t>HoF:</t>
    </r>
    <r>
      <rPr>
        <sz val="9"/>
        <color theme="1"/>
        <rFont val="Aptos Narrow"/>
        <family val="2"/>
      </rPr>
      <t> Commercial sign-off on Net Profit viability.</t>
    </r>
  </si>
  <si>
    <t>Pricing Model, IFRS 15 Tracker</t>
  </si>
  <si>
    <t>100% of Mega-Bids/ Bids (&gt;50M) Vetted</t>
  </si>
  <si>
    <t>KR 1.3: 100% Local Logistics Execution Speed.</t>
  </si>
  <si>
    <r>
      <t>Procurement:</t>
    </r>
    <r>
      <rPr>
        <sz val="9"/>
        <color theme="1"/>
        <rFont val="Aptos Narrow"/>
        <family val="2"/>
      </rPr>
      <t> Coordinate transport and customs to move hardware to site immediately upon award.</t>
    </r>
  </si>
  <si>
    <t>Logistics Tracker, POD File</t>
  </si>
  <si>
    <t>0 Delivery Delays to Client Site</t>
  </si>
  <si>
    <t>Objective 2: Optimize Cash Velocity &amp; Revenue Integrity</t>
  </si>
  <si>
    <t>KR 2.1: Achieve Cash Collection Target (DSO &lt; 45 Days).</t>
  </si>
  <si>
    <r>
      <t>AR:</t>
    </r>
    <r>
      <rPr>
        <sz val="9"/>
        <color theme="1"/>
        <rFont val="Aptos Narrow"/>
        <family val="2"/>
      </rPr>
      <t xml:space="preserve"> Daily collection calls &amp; debt recovery; 
</t>
    </r>
    <r>
      <rPr>
        <b/>
        <sz val="9"/>
        <color theme="1"/>
        <rFont val="Aptos Narrow"/>
        <family val="2"/>
      </rPr>
      <t>FM:</t>
    </r>
    <r>
      <rPr>
        <sz val="9"/>
        <color theme="1"/>
        <rFont val="Aptos Narrow"/>
        <family val="2"/>
      </rPr>
      <t xml:space="preserve"> Weekly supervision of "At-Risk" debt; 
</t>
    </r>
    <r>
      <rPr>
        <b/>
        <sz val="9"/>
        <color theme="1"/>
        <rFont val="Aptos Narrow"/>
        <family val="2"/>
      </rPr>
      <t>HoF:</t>
    </r>
    <r>
      <rPr>
        <sz val="9"/>
        <color theme="1"/>
        <rFont val="Aptos Narrow"/>
        <family val="2"/>
      </rPr>
      <t> Escalation of critical overdue Public Sector debt.</t>
    </r>
  </si>
  <si>
    <t>AR Aging Report, CRM</t>
  </si>
  <si>
    <t>Average DSO &lt; 45 Days</t>
  </si>
  <si>
    <t>KR 2.2: 100% Billing Accuracy &amp; Revenue Assurance.</t>
  </si>
  <si>
    <r>
      <t>AR:</t>
    </r>
    <r>
      <rPr>
        <sz val="9"/>
        <color theme="1"/>
        <rFont val="Aptos Narrow"/>
        <family val="2"/>
      </rPr>
      <t xml:space="preserve"> Match Disti BOMs to Invoices; 
</t>
    </r>
    <r>
      <rPr>
        <b/>
        <sz val="9"/>
        <color theme="1"/>
        <rFont val="Aptos Narrow"/>
        <family val="2"/>
      </rPr>
      <t>FM:</t>
    </r>
    <r>
      <rPr>
        <sz val="9"/>
        <color theme="1"/>
        <rFont val="Aptos Narrow"/>
        <family val="2"/>
      </rPr>
      <t xml:space="preserve"> Audit all "billable milestones" at month-end; 
</t>
    </r>
    <r>
      <rPr>
        <b/>
        <sz val="9"/>
        <color theme="1"/>
        <rFont val="Aptos Narrow"/>
        <family val="2"/>
      </rPr>
      <t>Procurement:</t>
    </r>
    <r>
      <rPr>
        <sz val="9"/>
        <color theme="1"/>
        <rFont val="Aptos Narrow"/>
        <family val="2"/>
      </rPr>
      <t> Verify GRN accuracy vs physical counts.</t>
    </r>
  </si>
  <si>
    <t>Billing Recon, ERP, GRN Log</t>
  </si>
  <si>
    <t>100% Revenue Billed (Zero Leakage)</t>
  </si>
  <si>
    <t>KR 2.3: Convert Work-in-Progress (WIP) to Cash.</t>
  </si>
  <si>
    <r>
      <t>FM:</t>
    </r>
    <r>
      <rPr>
        <sz val="9"/>
        <color theme="1"/>
        <rFont val="Aptos Narrow"/>
        <family val="2"/>
      </rPr>
      <t xml:space="preserve"> Produce monthly WIP Aging reports; 
</t>
    </r>
    <r>
      <rPr>
        <b/>
        <sz val="9"/>
        <color theme="1"/>
        <rFont val="Aptos Narrow"/>
        <family val="2"/>
      </rPr>
      <t>HoF:</t>
    </r>
    <r>
      <rPr>
        <sz val="9"/>
        <color theme="1"/>
        <rFont val="Aptos Narrow"/>
        <family val="2"/>
      </rPr>
      <t> Joint meeting with Ops to force milestone completion on stalled projects.</t>
    </r>
  </si>
  <si>
    <t>WIP Aging Report</t>
  </si>
  <si>
    <t>Project WIP Aging &lt; 60 Days</t>
  </si>
  <si>
    <t>KR 2.4: Just-in-Time Liquidity Management.</t>
  </si>
  <si>
    <r>
      <t>AP:</t>
    </r>
    <r>
      <rPr>
        <sz val="9"/>
        <color theme="1"/>
        <rFont val="Aptos Narrow"/>
        <family val="2"/>
      </rPr>
      <t xml:space="preserve"> Weekly Bank Recs &amp; scheduled payments; 
</t>
    </r>
    <r>
      <rPr>
        <b/>
        <sz val="9"/>
        <color theme="1"/>
        <rFont val="Aptos Narrow"/>
        <family val="2"/>
      </rPr>
      <t>Procurement:</t>
    </r>
    <r>
      <rPr>
        <sz val="9"/>
        <color theme="1"/>
        <rFont val="Aptos Narrow"/>
        <family val="2"/>
      </rPr>
      <t> Minimize storage/demurrage fees.</t>
    </r>
  </si>
  <si>
    <t>Bank Portal, IDF/Customs Portal</t>
  </si>
  <si>
    <t>0 Demurrage / 0 Bank Penalties</t>
  </si>
  <si>
    <t>Objective 3: Profit Protection, ISO &amp; Capacity</t>
  </si>
  <si>
    <t>KR 3.1: Achieve 20% Net Profit Margin.</t>
  </si>
  <si>
    <r>
      <t>HoF/FM:</t>
    </r>
    <r>
      <rPr>
        <sz val="9"/>
        <color theme="1"/>
        <rFont val="Aptos Narrow"/>
        <family val="2"/>
      </rPr>
      <t xml:space="preserve"> Monitor OpEx vs Budget &amp; enforce cuts; 
</t>
    </r>
    <r>
      <rPr>
        <b/>
        <sz val="9"/>
        <color theme="1"/>
        <rFont val="Aptos Narrow"/>
        <family val="2"/>
      </rPr>
      <t>Procurement:</t>
    </r>
    <r>
      <rPr>
        <sz val="9"/>
        <color theme="1"/>
        <rFont val="Aptos Narrow"/>
        <family val="2"/>
      </rPr>
      <t xml:space="preserve"> Negotiate logistics/admin costs down; 
</t>
    </r>
    <r>
      <rPr>
        <b/>
        <sz val="9"/>
        <color theme="1"/>
        <rFont val="Aptos Narrow"/>
        <family val="2"/>
      </rPr>
      <t>FM:</t>
    </r>
    <r>
      <rPr>
        <sz val="9"/>
        <color theme="1"/>
        <rFont val="Aptos Narrow"/>
        <family val="2"/>
      </rPr>
      <t> Maximize 100% capture of Vendor Rebates.</t>
    </r>
  </si>
  <si>
    <t>P&amp;L Analysis, Vendor Portals</t>
  </si>
  <si>
    <t>20% Net Profit Margin</t>
  </si>
  <si>
    <t>KR 3.2: 100% Statutory &amp; ISO Compliance.</t>
  </si>
  <si>
    <r>
      <t>AP:</t>
    </r>
    <r>
      <rPr>
        <sz val="9"/>
        <color theme="1"/>
        <rFont val="Aptos Narrow"/>
        <family val="2"/>
      </rPr>
      <t xml:space="preserve"> File/Pay VAT, PAYE, WHT on time; 
</t>
    </r>
    <r>
      <rPr>
        <b/>
        <sz val="9"/>
        <color theme="1"/>
        <rFont val="Aptos Narrow"/>
        <family val="2"/>
      </rPr>
      <t>FM:</t>
    </r>
    <r>
      <rPr>
        <sz val="9"/>
        <color theme="1"/>
        <rFont val="Aptos Narrow"/>
        <family val="2"/>
      </rPr>
      <t xml:space="preserve"> Lead the External Audit &amp; ISO process; 
</t>
    </r>
    <r>
      <rPr>
        <b/>
        <sz val="9"/>
        <color theme="1"/>
        <rFont val="Aptos Narrow"/>
        <family val="2"/>
      </rPr>
      <t>AR:</t>
    </r>
    <r>
      <rPr>
        <sz val="9"/>
        <color theme="1"/>
        <rFont val="Aptos Narrow"/>
        <family val="2"/>
      </rPr>
      <t> Maintain audit-proof invoice/POD files.</t>
    </r>
  </si>
  <si>
    <t>iTax, ISO Audit Tool, Archive</t>
  </si>
  <si>
    <t>0 Tax Fines / 0 Major ISO NCs</t>
  </si>
  <si>
    <t>KR 3.3: Departmental Capacity Building.</t>
  </si>
  <si>
    <r>
      <t>ALL:</t>
    </r>
    <r>
      <rPr>
        <sz val="9"/>
        <color theme="1"/>
        <rFont val="Aptos Narrow"/>
        <family val="2"/>
      </rPr>
      <t xml:space="preserve"> Completion of 3 professional courses per person; 
</t>
    </r>
    <r>
      <rPr>
        <b/>
        <sz val="9"/>
        <color theme="1"/>
        <rFont val="Aptos Narrow"/>
        <family val="2"/>
      </rPr>
      <t>FM/HoF:</t>
    </r>
    <r>
      <rPr>
        <sz val="9"/>
        <color theme="1"/>
        <rFont val="Aptos Narrow"/>
        <family val="2"/>
      </rPr>
      <t> Monitor staff engagement/well-being.</t>
    </r>
  </si>
  <si>
    <t>L&amp;D Portal, HR Engagement Log</t>
  </si>
  <si>
    <t>15 Professional Courses Completed</t>
  </si>
  <si>
    <t>Template</t>
  </si>
  <si>
    <t>PERFORMANCE OBJECTIVES &amp; EVALUATION 2026</t>
  </si>
  <si>
    <t>Staff Name</t>
  </si>
  <si>
    <r>
      <t xml:space="preserve">&lt;&lt;Staff Name&gt;&gt; - </t>
    </r>
    <r>
      <rPr>
        <b/>
        <i/>
        <sz val="12"/>
        <color rgb="FFC00000"/>
        <rFont val="Arial"/>
        <family val="2"/>
      </rPr>
      <t>Employee1</t>
    </r>
  </si>
  <si>
    <t>KONVERGENZ NETWORK SOLUTIONS LTD</t>
  </si>
  <si>
    <t>Position/Title</t>
  </si>
  <si>
    <t>&lt;&lt;Job Title&gt;&gt;</t>
  </si>
  <si>
    <t>KR2</t>
  </si>
  <si>
    <t>KR3</t>
  </si>
  <si>
    <t xml:space="preserve">Objective 1
</t>
  </si>
  <si>
    <t>KR 1</t>
  </si>
  <si>
    <t>Objetive 2:</t>
  </si>
  <si>
    <t>Objective 3:</t>
  </si>
  <si>
    <t>Objective 2</t>
  </si>
  <si>
    <t>Objective 3</t>
  </si>
  <si>
    <r>
      <t>Departmental Performance Score (</t>
    </r>
    <r>
      <rPr>
        <b/>
        <u/>
        <sz val="11"/>
        <color rgb="FFC00000"/>
        <rFont val="Calibri"/>
        <family val="2"/>
        <scheme val="minor"/>
      </rPr>
      <t>Dept A</t>
    </r>
    <r>
      <rPr>
        <b/>
        <u/>
        <sz val="11"/>
        <color theme="1"/>
        <rFont val="Calibri"/>
        <family val="2"/>
        <scheme val="minor"/>
      </rPr>
      <t>)</t>
    </r>
  </si>
  <si>
    <t>Employee Scores</t>
  </si>
  <si>
    <t>Employee 1</t>
  </si>
  <si>
    <t>Employee 2</t>
  </si>
  <si>
    <t>Employee 3</t>
  </si>
  <si>
    <t>Employee 4</t>
  </si>
  <si>
    <t>Employee 5</t>
  </si>
  <si>
    <t>Employee 6</t>
  </si>
  <si>
    <t>Departmental Average Score</t>
  </si>
  <si>
    <t>ORGANIZATIONAL OKR PERFORMANCE SCORE REPORT</t>
  </si>
  <si>
    <t>Organization Objective WGT</t>
  </si>
  <si>
    <t>Dept A</t>
  </si>
  <si>
    <t>Dept B</t>
  </si>
  <si>
    <t>Dept C</t>
  </si>
  <si>
    <t>Dept D</t>
  </si>
  <si>
    <t>Dept E</t>
  </si>
  <si>
    <t>Organizational Objective Average Score</t>
  </si>
  <si>
    <t>Organizational Objective Average Score 
(Based on OKR Weight)</t>
  </si>
  <si>
    <t>1. SEIZE OPPORTUNITIES: Public Sector with Mega Digital Transformation Projects &amp; BFSI with Zero Trust</t>
  </si>
  <si>
    <t>Departmental Objective 1 Weight</t>
  </si>
  <si>
    <t>Dept Obj 1 Score</t>
  </si>
  <si>
    <t>Dept Real Contribution Score</t>
  </si>
  <si>
    <t>2. DRIVE BUSINESS SUSTAINABILITY: Through sustainable solutions &amp; services</t>
  </si>
  <si>
    <t>Departmental Objective 2 Weight</t>
  </si>
  <si>
    <t>Dept Obj 2 Score</t>
  </si>
  <si>
    <t>3. NAVIGATE CHALLENGES: Navigate Business, Project, Support, People, Operation Challenges</t>
  </si>
  <si>
    <t>Departmental Objective 3 Weight</t>
  </si>
  <si>
    <t>Dept Obj 3 Score</t>
  </si>
  <si>
    <t>General Organizational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</si>
</sst>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%_-;\-* #,##0%_-;_-* &quot;-&quot;??_-;_-@_-"/>
    <numFmt numFmtId="165" formatCode="0.0%"/>
    <numFmt numFmtId="166" formatCode="#,##0_ ;\-#,##0\ "/>
  </numFmts>
  <fonts count="9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sz val="12"/>
      <color rgb="FFC00000"/>
      <name val="Arial"/>
      <family val="2"/>
    </font>
    <font>
      <i/>
      <sz val="12"/>
      <name val="Arial"/>
      <family val="2"/>
    </font>
    <font>
      <i/>
      <sz val="12"/>
      <color theme="1"/>
      <name val="Arial"/>
      <family val="2"/>
    </font>
    <font>
      <b/>
      <sz val="10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10"/>
      <color theme="1"/>
      <name val="Calibri"/>
      <family val="2"/>
      <scheme val="minor"/>
    </font>
    <font>
      <i/>
      <sz val="10"/>
      <name val="Segoe UI"/>
      <family val="2"/>
    </font>
    <font>
      <sz val="10"/>
      <name val="Segoe UI"/>
      <family val="2"/>
    </font>
    <font>
      <sz val="10"/>
      <color rgb="FF104861"/>
      <name val="Segoe UI"/>
      <family val="2"/>
    </font>
    <font>
      <i/>
      <sz val="10"/>
      <color rgb="FFA6A6A6"/>
      <name val="Segoe UI"/>
      <family val="2"/>
    </font>
    <font>
      <b/>
      <sz val="10"/>
      <color rgb="FFFFFFFF"/>
      <name val="Segoe UI"/>
      <family val="2"/>
    </font>
    <font>
      <sz val="10"/>
      <color rgb="FFFFFFFF"/>
      <name val="Segoe UI"/>
      <family val="2"/>
    </font>
    <font>
      <b/>
      <sz val="9"/>
      <name val="Segoe UI"/>
      <family val="2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i/>
      <sz val="12"/>
      <color rgb="FFC00000"/>
      <name val="Arial"/>
      <family val="2"/>
    </font>
    <font>
      <b/>
      <sz val="10"/>
      <color rgb="FFC00000"/>
      <name val="Calibri"/>
      <family val="2"/>
      <scheme val="minor"/>
    </font>
    <font>
      <i/>
      <u/>
      <sz val="12"/>
      <color rgb="FFC00000"/>
      <name val="Arial"/>
      <family val="2"/>
    </font>
    <font>
      <b/>
      <sz val="10"/>
      <color theme="0" tint="-4.9989318521683403E-2"/>
      <name val="Calibri"/>
      <family val="2"/>
      <scheme val="minor"/>
    </font>
    <font>
      <b/>
      <sz val="11"/>
      <name val="Calibri"/>
      <family val="2"/>
    </font>
    <font>
      <b/>
      <sz val="11"/>
      <color rgb="FFC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9" tint="-0.249977111117893"/>
      <name val="Calibri"/>
      <family val="2"/>
    </font>
    <font>
      <sz val="11"/>
      <color rgb="FF3C7D22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rgb="FF002060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name val="Arial"/>
      <family val="2"/>
    </font>
    <font>
      <b/>
      <sz val="11"/>
      <color rgb="FFC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rgb="FFC00000"/>
      <name val="Arial"/>
      <family val="2"/>
    </font>
    <font>
      <b/>
      <sz val="11"/>
      <color rgb="FF1A1C1E"/>
      <name val="Arial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b/>
      <sz val="9"/>
      <color rgb="FFC00000"/>
      <name val="Aptos Narrow"/>
      <family val="2"/>
    </font>
    <font>
      <sz val="9"/>
      <color rgb="FFC00000"/>
      <name val="Aptos Narrow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rgb="FFC00000"/>
      <name val="Arial"/>
      <family val="2"/>
    </font>
    <font>
      <b/>
      <sz val="10"/>
      <color theme="1"/>
      <name val="Arial"/>
      <family val="2"/>
    </font>
    <font>
      <sz val="10"/>
      <color rgb="FFC00000"/>
      <name val="Arial"/>
      <family val="2"/>
    </font>
    <font>
      <sz val="9"/>
      <color rgb="FFC00000"/>
      <name val="Arial"/>
      <family val="2"/>
    </font>
    <font>
      <b/>
      <i/>
      <sz val="11"/>
      <color rgb="FFC00000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0"/>
      <color theme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</font>
    <font>
      <b/>
      <i/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7E350E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rgb="FFFFC000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4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vertical="center" wrapText="1"/>
    </xf>
    <xf numFmtId="9" fontId="7" fillId="2" borderId="7" xfId="1" applyFont="1" applyFill="1" applyBorder="1" applyAlignment="1" applyProtection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10" fontId="4" fillId="0" borderId="2" xfId="0" applyNumberFormat="1" applyFont="1" applyBorder="1" applyAlignment="1" applyProtection="1">
      <alignment vertical="center"/>
      <protection locked="0"/>
    </xf>
    <xf numFmtId="10" fontId="4" fillId="9" borderId="7" xfId="1" applyNumberFormat="1" applyFont="1" applyFill="1" applyBorder="1" applyAlignment="1" applyProtection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10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10" fontId="7" fillId="0" borderId="18" xfId="0" applyNumberFormat="1" applyFont="1" applyBorder="1" applyAlignment="1" applyProtection="1">
      <alignment horizontal="center" vertical="center"/>
      <protection locked="0"/>
    </xf>
    <xf numFmtId="10" fontId="7" fillId="9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>
      <alignment vertical="center" wrapText="1"/>
    </xf>
    <xf numFmtId="10" fontId="4" fillId="8" borderId="7" xfId="1" applyNumberFormat="1" applyFont="1" applyFill="1" applyBorder="1" applyAlignment="1" applyProtection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10" fontId="7" fillId="0" borderId="21" xfId="0" applyNumberFormat="1" applyFont="1" applyBorder="1" applyAlignment="1" applyProtection="1">
      <alignment horizontal="center" vertical="center"/>
      <protection locked="0"/>
    </xf>
    <xf numFmtId="10" fontId="7" fillId="8" borderId="21" xfId="0" applyNumberFormat="1" applyFont="1" applyFill="1" applyBorder="1" applyAlignment="1" applyProtection="1">
      <alignment horizontal="center" vertical="center" wrapText="1"/>
      <protection locked="0"/>
    </xf>
    <xf numFmtId="10" fontId="4" fillId="9" borderId="7" xfId="1" applyNumberFormat="1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0" fontId="4" fillId="9" borderId="2" xfId="1" applyNumberFormat="1" applyFont="1" applyFill="1" applyBorder="1" applyAlignment="1" applyProtection="1">
      <alignment horizontal="center" vertical="center" wrapText="1"/>
    </xf>
    <xf numFmtId="10" fontId="4" fillId="9" borderId="10" xfId="1" applyNumberFormat="1" applyFont="1" applyFill="1" applyBorder="1" applyAlignment="1" applyProtection="1">
      <alignment horizontal="center" vertical="center" wrapText="1"/>
    </xf>
    <xf numFmtId="10" fontId="7" fillId="3" borderId="18" xfId="0" applyNumberFormat="1" applyFont="1" applyFill="1" applyBorder="1" applyAlignment="1" applyProtection="1">
      <alignment horizontal="center" vertical="center"/>
      <protection locked="0"/>
    </xf>
    <xf numFmtId="0" fontId="7" fillId="5" borderId="34" xfId="0" applyFont="1" applyFill="1" applyBorder="1" applyAlignment="1">
      <alignment vertical="center"/>
    </xf>
    <xf numFmtId="9" fontId="7" fillId="5" borderId="11" xfId="0" applyNumberFormat="1" applyFont="1" applyFill="1" applyBorder="1" applyAlignment="1">
      <alignment horizontal="center" vertical="center" wrapText="1"/>
    </xf>
    <xf numFmtId="164" fontId="7" fillId="5" borderId="35" xfId="2" applyNumberFormat="1" applyFont="1" applyFill="1" applyBorder="1" applyAlignment="1" applyProtection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10" fontId="7" fillId="5" borderId="1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20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9" fontId="4" fillId="3" borderId="0" xfId="1" applyFont="1" applyFill="1" applyBorder="1" applyAlignment="1" applyProtection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9" fontId="7" fillId="5" borderId="11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7" xfId="0" applyNumberFormat="1" applyFont="1" applyBorder="1" applyAlignment="1" applyProtection="1">
      <alignment horizontal="center" vertical="center"/>
      <protection locked="0"/>
    </xf>
    <xf numFmtId="1" fontId="4" fillId="0" borderId="7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wrapText="1"/>
    </xf>
    <xf numFmtId="0" fontId="9" fillId="5" borderId="7" xfId="0" applyFont="1" applyFill="1" applyBorder="1" applyAlignment="1">
      <alignment horizontal="center" wrapText="1"/>
    </xf>
    <xf numFmtId="9" fontId="7" fillId="5" borderId="7" xfId="1" applyFont="1" applyFill="1" applyBorder="1" applyAlignment="1" applyProtection="1">
      <alignment horizontal="center" wrapText="1"/>
    </xf>
    <xf numFmtId="0" fontId="6" fillId="0" borderId="0" xfId="0" applyFont="1"/>
    <xf numFmtId="10" fontId="4" fillId="0" borderId="7" xfId="1" applyNumberFormat="1" applyFont="1" applyFill="1" applyBorder="1" applyAlignment="1" applyProtection="1">
      <alignment vertical="center" wrapText="1"/>
    </xf>
    <xf numFmtId="165" fontId="4" fillId="0" borderId="7" xfId="1" applyNumberFormat="1" applyFont="1" applyFill="1" applyBorder="1" applyAlignment="1" applyProtection="1">
      <alignment vertical="center" wrapText="1"/>
    </xf>
    <xf numFmtId="9" fontId="4" fillId="0" borderId="7" xfId="1" applyFont="1" applyFill="1" applyBorder="1" applyAlignment="1" applyProtection="1">
      <alignment horizontal="center" vertical="center" wrapText="1"/>
    </xf>
    <xf numFmtId="9" fontId="4" fillId="9" borderId="9" xfId="1" applyFont="1" applyFill="1" applyBorder="1" applyAlignment="1" applyProtection="1">
      <alignment horizontal="center" vertical="center" wrapText="1"/>
    </xf>
    <xf numFmtId="10" fontId="11" fillId="0" borderId="2" xfId="0" applyNumberFormat="1" applyFont="1" applyBorder="1" applyAlignment="1" applyProtection="1">
      <alignment vertical="center"/>
      <protection locked="0"/>
    </xf>
    <xf numFmtId="9" fontId="11" fillId="0" borderId="7" xfId="0" applyNumberFormat="1" applyFont="1" applyBorder="1" applyAlignment="1" applyProtection="1">
      <alignment horizontal="center" vertical="center"/>
      <protection locked="0"/>
    </xf>
    <xf numFmtId="10" fontId="11" fillId="0" borderId="7" xfId="0" applyNumberFormat="1" applyFont="1" applyBorder="1" applyAlignment="1" applyProtection="1">
      <alignment horizontal="center" vertical="center"/>
      <protection locked="0"/>
    </xf>
    <xf numFmtId="10" fontId="9" fillId="0" borderId="18" xfId="0" applyNumberFormat="1" applyFont="1" applyBorder="1" applyAlignment="1" applyProtection="1">
      <alignment horizontal="center" vertical="center"/>
      <protection locked="0"/>
    </xf>
    <xf numFmtId="9" fontId="11" fillId="0" borderId="9" xfId="0" applyNumberFormat="1" applyFont="1" applyBorder="1" applyAlignment="1" applyProtection="1">
      <alignment horizontal="center" vertical="center"/>
      <protection locked="0"/>
    </xf>
    <xf numFmtId="9" fontId="11" fillId="0" borderId="2" xfId="0" applyNumberFormat="1" applyFont="1" applyBorder="1" applyAlignment="1" applyProtection="1">
      <alignment horizontal="center" vertical="center"/>
      <protection locked="0"/>
    </xf>
    <xf numFmtId="9" fontId="11" fillId="0" borderId="10" xfId="0" applyNumberFormat="1" applyFont="1" applyBorder="1" applyAlignment="1" applyProtection="1">
      <alignment horizontal="center" vertical="center"/>
      <protection locked="0"/>
    </xf>
    <xf numFmtId="10" fontId="9" fillId="0" borderId="9" xfId="0" applyNumberFormat="1" applyFont="1" applyBorder="1" applyAlignment="1">
      <alignment vertical="center"/>
    </xf>
    <xf numFmtId="1" fontId="9" fillId="0" borderId="7" xfId="0" applyNumberFormat="1" applyFont="1" applyBorder="1" applyAlignment="1">
      <alignment horizontal="center" vertical="center"/>
    </xf>
    <xf numFmtId="10" fontId="9" fillId="0" borderId="7" xfId="0" applyNumberFormat="1" applyFont="1" applyBorder="1" applyAlignment="1">
      <alignment vertical="center"/>
    </xf>
    <xf numFmtId="10" fontId="9" fillId="0" borderId="10" xfId="0" applyNumberFormat="1" applyFont="1" applyBorder="1" applyAlignment="1">
      <alignment vertical="center"/>
    </xf>
    <xf numFmtId="10" fontId="9" fillId="3" borderId="7" xfId="0" applyNumberFormat="1" applyFont="1" applyFill="1" applyBorder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wrapText="1"/>
    </xf>
    <xf numFmtId="0" fontId="14" fillId="0" borderId="7" xfId="0" applyFont="1" applyBorder="1" applyAlignment="1">
      <alignment horizontal="left" vertical="center" wrapText="1"/>
    </xf>
    <xf numFmtId="9" fontId="16" fillId="0" borderId="41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41" xfId="0" applyFont="1" applyBorder="1" applyAlignment="1">
      <alignment horizontal="center" vertical="center"/>
    </xf>
    <xf numFmtId="0" fontId="16" fillId="10" borderId="41" xfId="0" applyFont="1" applyFill="1" applyBorder="1" applyAlignment="1">
      <alignment horizontal="center" vertical="center"/>
    </xf>
    <xf numFmtId="9" fontId="15" fillId="0" borderId="4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9" fontId="16" fillId="0" borderId="40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wrapText="1"/>
    </xf>
    <xf numFmtId="0" fontId="16" fillId="0" borderId="40" xfId="0" applyFont="1" applyBorder="1" applyAlignment="1">
      <alignment horizontal="center" vertical="center"/>
    </xf>
    <xf numFmtId="9" fontId="15" fillId="0" borderId="40" xfId="0" applyNumberFormat="1" applyFont="1" applyBorder="1" applyAlignment="1">
      <alignment horizontal="center" vertical="center"/>
    </xf>
    <xf numFmtId="0" fontId="16" fillId="10" borderId="40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/>
    </xf>
    <xf numFmtId="0" fontId="19" fillId="0" borderId="7" xfId="0" applyFont="1" applyBorder="1" applyAlignment="1">
      <alignment horizontal="left" vertical="center" wrapText="1"/>
    </xf>
    <xf numFmtId="9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7" xfId="0" applyFont="1" applyBorder="1" applyAlignment="1">
      <alignment vertical="center" wrapText="1"/>
    </xf>
    <xf numFmtId="9" fontId="16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9" fontId="15" fillId="11" borderId="0" xfId="0" applyNumberFormat="1" applyFont="1" applyFill="1" applyAlignment="1">
      <alignment horizontal="center" vertical="center"/>
    </xf>
    <xf numFmtId="9" fontId="16" fillId="11" borderId="40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 wrapText="1"/>
    </xf>
    <xf numFmtId="10" fontId="16" fillId="0" borderId="7" xfId="0" applyNumberFormat="1" applyFont="1" applyBorder="1" applyAlignment="1">
      <alignment horizontal="center" vertical="center"/>
    </xf>
    <xf numFmtId="9" fontId="16" fillId="0" borderId="42" xfId="0" applyNumberFormat="1" applyFont="1" applyBorder="1" applyAlignment="1">
      <alignment horizontal="center" vertical="center"/>
    </xf>
    <xf numFmtId="9" fontId="15" fillId="12" borderId="0" xfId="0" applyNumberFormat="1" applyFont="1" applyFill="1" applyAlignment="1">
      <alignment horizontal="center" vertical="center"/>
    </xf>
    <xf numFmtId="10" fontId="15" fillId="12" borderId="40" xfId="0" applyNumberFormat="1" applyFont="1" applyFill="1" applyBorder="1" applyAlignment="1">
      <alignment horizontal="center" vertical="center"/>
    </xf>
    <xf numFmtId="9" fontId="16" fillId="14" borderId="0" xfId="0" applyNumberFormat="1" applyFont="1" applyFill="1" applyAlignment="1">
      <alignment horizontal="center" vertical="center"/>
    </xf>
    <xf numFmtId="10" fontId="16" fillId="14" borderId="40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9" fontId="22" fillId="15" borderId="0" xfId="0" applyNumberFormat="1" applyFont="1" applyFill="1" applyAlignment="1">
      <alignment horizontal="center" vertical="center"/>
    </xf>
    <xf numFmtId="0" fontId="22" fillId="15" borderId="0" xfId="0" applyFont="1" applyFill="1" applyAlignment="1">
      <alignment vertical="center"/>
    </xf>
    <xf numFmtId="0" fontId="23" fillId="15" borderId="0" xfId="0" applyFont="1" applyFill="1"/>
    <xf numFmtId="0" fontId="14" fillId="0" borderId="7" xfId="0" applyFont="1" applyBorder="1" applyAlignment="1">
      <alignment horizontal="center" wrapText="1"/>
    </xf>
    <xf numFmtId="0" fontId="24" fillId="0" borderId="7" xfId="0" applyFont="1" applyBorder="1" applyAlignment="1">
      <alignment horizontal="center" wrapText="1"/>
    </xf>
    <xf numFmtId="9" fontId="16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16" fillId="0" borderId="3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9" fontId="9" fillId="0" borderId="21" xfId="0" applyNumberFormat="1" applyFont="1" applyBorder="1" applyAlignment="1" applyProtection="1">
      <alignment horizontal="center" vertical="center"/>
      <protection locked="0"/>
    </xf>
    <xf numFmtId="9" fontId="9" fillId="3" borderId="18" xfId="0" applyNumberFormat="1" applyFont="1" applyFill="1" applyBorder="1" applyAlignment="1" applyProtection="1">
      <alignment horizontal="center" vertical="center"/>
      <protection locked="0"/>
    </xf>
    <xf numFmtId="9" fontId="4" fillId="0" borderId="7" xfId="1" applyFont="1" applyBorder="1" applyAlignment="1">
      <alignment horizontal="center" vertical="center"/>
    </xf>
    <xf numFmtId="1" fontId="7" fillId="16" borderId="7" xfId="0" applyNumberFormat="1" applyFont="1" applyFill="1" applyBorder="1" applyAlignment="1">
      <alignment horizontal="center" vertical="center"/>
    </xf>
    <xf numFmtId="9" fontId="7" fillId="4" borderId="8" xfId="0" applyNumberFormat="1" applyFont="1" applyFill="1" applyBorder="1" applyAlignment="1" applyProtection="1">
      <alignment horizontal="center" vertical="center" wrapText="1"/>
      <protection locked="0"/>
    </xf>
    <xf numFmtId="9" fontId="7" fillId="4" borderId="18" xfId="0" applyNumberFormat="1" applyFont="1" applyFill="1" applyBorder="1" applyAlignment="1" applyProtection="1">
      <alignment horizontal="center" vertical="center" wrapText="1"/>
      <protection locked="0"/>
    </xf>
    <xf numFmtId="1" fontId="7" fillId="16" borderId="7" xfId="0" applyNumberFormat="1" applyFont="1" applyFill="1" applyBorder="1" applyAlignment="1" applyProtection="1">
      <alignment horizontal="center" vertical="center"/>
      <protection locked="0"/>
    </xf>
    <xf numFmtId="1" fontId="4" fillId="16" borderId="7" xfId="0" applyNumberFormat="1" applyFont="1" applyFill="1" applyBorder="1" applyAlignment="1">
      <alignment horizontal="center" vertical="center"/>
    </xf>
    <xf numFmtId="0" fontId="26" fillId="0" borderId="0" xfId="0" applyFont="1"/>
    <xf numFmtId="0" fontId="26" fillId="0" borderId="7" xfId="0" applyFont="1" applyBorder="1"/>
    <xf numFmtId="0" fontId="3" fillId="0" borderId="7" xfId="0" applyFont="1" applyBorder="1" applyAlignment="1">
      <alignment horizontal="center" wrapText="1"/>
    </xf>
    <xf numFmtId="9" fontId="3" fillId="0" borderId="7" xfId="1" applyFont="1" applyBorder="1" applyAlignment="1">
      <alignment horizontal="center" vertical="center" wrapText="1"/>
    </xf>
    <xf numFmtId="9" fontId="0" fillId="0" borderId="7" xfId="1" applyFont="1" applyBorder="1" applyAlignment="1">
      <alignment horizontal="center" vertical="center"/>
    </xf>
    <xf numFmtId="0" fontId="3" fillId="0" borderId="7" xfId="0" applyFont="1" applyBorder="1"/>
    <xf numFmtId="0" fontId="27" fillId="0" borderId="7" xfId="0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27" fillId="0" borderId="7" xfId="0" applyFont="1" applyBorder="1" applyAlignment="1">
      <alignment horizontal="center" wrapText="1"/>
    </xf>
    <xf numFmtId="9" fontId="3" fillId="0" borderId="7" xfId="0" applyNumberFormat="1" applyFont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/>
    </xf>
    <xf numFmtId="0" fontId="27" fillId="0" borderId="7" xfId="0" applyFont="1" applyBorder="1" applyAlignment="1">
      <alignment wrapText="1"/>
    </xf>
    <xf numFmtId="9" fontId="0" fillId="0" borderId="7" xfId="0" applyNumberFormat="1" applyBorder="1" applyAlignment="1">
      <alignment horizontal="center"/>
    </xf>
    <xf numFmtId="0" fontId="27" fillId="17" borderId="7" xfId="0" applyFont="1" applyFill="1" applyBorder="1" applyAlignment="1">
      <alignment horizontal="center" wrapText="1"/>
    </xf>
    <xf numFmtId="0" fontId="3" fillId="6" borderId="7" xfId="0" applyFont="1" applyFill="1" applyBorder="1"/>
    <xf numFmtId="0" fontId="27" fillId="6" borderId="7" xfId="0" applyFont="1" applyFill="1" applyBorder="1" applyAlignment="1">
      <alignment wrapText="1"/>
    </xf>
    <xf numFmtId="0" fontId="27" fillId="6" borderId="0" xfId="0" applyFont="1" applyFill="1" applyAlignment="1">
      <alignment wrapText="1"/>
    </xf>
    <xf numFmtId="0" fontId="3" fillId="6" borderId="7" xfId="0" applyFont="1" applyFill="1" applyBorder="1" applyAlignment="1">
      <alignment horizontal="center"/>
    </xf>
    <xf numFmtId="9" fontId="3" fillId="18" borderId="48" xfId="1" applyFont="1" applyFill="1" applyBorder="1" applyAlignment="1">
      <alignment horizontal="center"/>
    </xf>
    <xf numFmtId="9" fontId="0" fillId="17" borderId="3" xfId="1" applyFont="1" applyFill="1" applyBorder="1" applyAlignment="1">
      <alignment horizontal="center" vertical="center"/>
    </xf>
    <xf numFmtId="9" fontId="3" fillId="17" borderId="3" xfId="0" applyNumberFormat="1" applyFont="1" applyFill="1" applyBorder="1" applyAlignment="1">
      <alignment horizontal="center"/>
    </xf>
    <xf numFmtId="0" fontId="0" fillId="17" borderId="3" xfId="0" applyFill="1" applyBorder="1"/>
    <xf numFmtId="0" fontId="27" fillId="16" borderId="2" xfId="0" applyFont="1" applyFill="1" applyBorder="1" applyAlignment="1">
      <alignment horizontal="center" wrapText="1"/>
    </xf>
    <xf numFmtId="9" fontId="0" fillId="16" borderId="48" xfId="0" applyNumberFormat="1" applyFill="1" applyBorder="1" applyAlignment="1">
      <alignment horizontal="center"/>
    </xf>
    <xf numFmtId="0" fontId="29" fillId="0" borderId="0" xfId="0" applyFont="1"/>
    <xf numFmtId="0" fontId="28" fillId="6" borderId="7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9" fillId="2" borderId="31" xfId="0" applyFont="1" applyFill="1" applyBorder="1" applyAlignment="1">
      <alignment horizontal="center" vertical="center" textRotation="90" wrapText="1"/>
    </xf>
    <xf numFmtId="0" fontId="9" fillId="19" borderId="7" xfId="0" applyFont="1" applyFill="1" applyBorder="1" applyAlignment="1">
      <alignment horizontal="center" textRotation="90" wrapText="1"/>
    </xf>
    <xf numFmtId="0" fontId="32" fillId="3" borderId="0" xfId="0" applyFont="1" applyFill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9" fontId="28" fillId="0" borderId="7" xfId="1" applyFont="1" applyBorder="1" applyAlignment="1">
      <alignment horizontal="center" vertical="center" wrapText="1"/>
    </xf>
    <xf numFmtId="9" fontId="28" fillId="0" borderId="7" xfId="0" applyNumberFormat="1" applyFont="1" applyBorder="1" applyAlignment="1">
      <alignment horizontal="center"/>
    </xf>
    <xf numFmtId="0" fontId="0" fillId="0" borderId="5" xfId="0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/>
    </xf>
    <xf numFmtId="0" fontId="3" fillId="0" borderId="52" xfId="0" applyFont="1" applyBorder="1"/>
    <xf numFmtId="0" fontId="27" fillId="0" borderId="9" xfId="0" applyFont="1" applyBorder="1" applyAlignment="1">
      <alignment horizontal="center"/>
    </xf>
    <xf numFmtId="0" fontId="0" fillId="0" borderId="54" xfId="0" applyBorder="1" applyAlignment="1">
      <alignment vertical="center" wrapText="1"/>
    </xf>
    <xf numFmtId="9" fontId="3" fillId="0" borderId="55" xfId="0" applyNumberFormat="1" applyFont="1" applyBorder="1" applyAlignment="1">
      <alignment horizontal="center" vertical="center"/>
    </xf>
    <xf numFmtId="9" fontId="28" fillId="0" borderId="2" xfId="1" applyFont="1" applyBorder="1" applyAlignment="1">
      <alignment horizontal="center" vertical="center" wrapText="1"/>
    </xf>
    <xf numFmtId="9" fontId="0" fillId="0" borderId="2" xfId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center" wrapText="1"/>
    </xf>
    <xf numFmtId="0" fontId="31" fillId="0" borderId="9" xfId="0" applyFont="1" applyBorder="1" applyAlignment="1">
      <alignment horizontal="center" wrapText="1"/>
    </xf>
    <xf numFmtId="0" fontId="33" fillId="0" borderId="9" xfId="0" applyFont="1" applyBorder="1" applyAlignment="1">
      <alignment horizontal="center"/>
    </xf>
    <xf numFmtId="0" fontId="34" fillId="20" borderId="7" xfId="0" applyFont="1" applyFill="1" applyBorder="1" applyAlignment="1">
      <alignment horizontal="center" vertical="center" wrapText="1"/>
    </xf>
    <xf numFmtId="0" fontId="35" fillId="21" borderId="7" xfId="0" applyFont="1" applyFill="1" applyBorder="1" applyAlignment="1">
      <alignment wrapText="1"/>
    </xf>
    <xf numFmtId="0" fontId="34" fillId="21" borderId="7" xfId="0" applyFont="1" applyFill="1" applyBorder="1" applyAlignment="1">
      <alignment horizontal="center" wrapText="1"/>
    </xf>
    <xf numFmtId="0" fontId="34" fillId="21" borderId="7" xfId="0" applyFont="1" applyFill="1" applyBorder="1" applyAlignment="1">
      <alignment wrapText="1"/>
    </xf>
    <xf numFmtId="0" fontId="36" fillId="0" borderId="0" xfId="0" applyFont="1" applyAlignment="1">
      <alignment horizontal="center"/>
    </xf>
    <xf numFmtId="9" fontId="36" fillId="0" borderId="7" xfId="1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left" vertical="center" wrapText="1"/>
    </xf>
    <xf numFmtId="9" fontId="38" fillId="0" borderId="7" xfId="0" applyNumberFormat="1" applyFont="1" applyBorder="1" applyAlignment="1">
      <alignment horizontal="center" vertical="center" wrapText="1"/>
    </xf>
    <xf numFmtId="166" fontId="36" fillId="0" borderId="7" xfId="3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9" fontId="36" fillId="0" borderId="0" xfId="1" applyFont="1"/>
    <xf numFmtId="0" fontId="36" fillId="0" borderId="0" xfId="0" applyFont="1"/>
    <xf numFmtId="0" fontId="40" fillId="0" borderId="7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left" vertical="center" wrapText="1"/>
    </xf>
    <xf numFmtId="9" fontId="40" fillId="0" borderId="7" xfId="0" applyNumberFormat="1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left" vertical="center" wrapText="1"/>
    </xf>
    <xf numFmtId="9" fontId="44" fillId="4" borderId="7" xfId="1" applyFont="1" applyFill="1" applyBorder="1" applyAlignment="1">
      <alignment horizontal="center" vertical="center"/>
    </xf>
    <xf numFmtId="0" fontId="36" fillId="0" borderId="7" xfId="0" applyFont="1" applyBorder="1" applyAlignment="1">
      <alignment horizontal="left" vertical="center" wrapText="1"/>
    </xf>
    <xf numFmtId="0" fontId="36" fillId="0" borderId="7" xfId="0" applyFont="1" applyBorder="1" applyAlignment="1">
      <alignment wrapText="1"/>
    </xf>
    <xf numFmtId="0" fontId="36" fillId="0" borderId="7" xfId="0" applyFont="1" applyBorder="1" applyAlignment="1">
      <alignment vertical="center" wrapText="1"/>
    </xf>
    <xf numFmtId="0" fontId="6" fillId="0" borderId="50" xfId="0" applyFont="1" applyBorder="1" applyAlignment="1">
      <alignment vertical="center"/>
    </xf>
    <xf numFmtId="0" fontId="4" fillId="2" borderId="49" xfId="0" applyFont="1" applyFill="1" applyBorder="1" applyAlignment="1">
      <alignment vertical="center"/>
    </xf>
    <xf numFmtId="0" fontId="4" fillId="2" borderId="70" xfId="0" applyFont="1" applyFill="1" applyBorder="1" applyAlignment="1">
      <alignment vertical="center" wrapText="1"/>
    </xf>
    <xf numFmtId="0" fontId="4" fillId="2" borderId="73" xfId="0" applyFont="1" applyFill="1" applyBorder="1" applyAlignment="1">
      <alignment vertical="center" wrapText="1"/>
    </xf>
    <xf numFmtId="0" fontId="4" fillId="2" borderId="34" xfId="0" applyFont="1" applyFill="1" applyBorder="1" applyAlignment="1">
      <alignment vertical="center"/>
    </xf>
    <xf numFmtId="0" fontId="4" fillId="2" borderId="79" xfId="0" applyFont="1" applyFill="1" applyBorder="1" applyAlignment="1">
      <alignment vertical="center"/>
    </xf>
    <xf numFmtId="0" fontId="4" fillId="2" borderId="82" xfId="0" applyFont="1" applyFill="1" applyBorder="1" applyAlignment="1">
      <alignment vertical="center"/>
    </xf>
    <xf numFmtId="0" fontId="4" fillId="2" borderId="85" xfId="0" applyFont="1" applyFill="1" applyBorder="1" applyAlignment="1">
      <alignment vertical="center"/>
    </xf>
    <xf numFmtId="0" fontId="4" fillId="2" borderId="75" xfId="0" applyFont="1" applyFill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4" fillId="2" borderId="73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46" fillId="0" borderId="37" xfId="0" applyFont="1" applyBorder="1" applyAlignment="1">
      <alignment horizontal="left" vertical="center" wrapText="1"/>
    </xf>
    <xf numFmtId="0" fontId="47" fillId="0" borderId="37" xfId="0" applyFont="1" applyBorder="1" applyAlignment="1">
      <alignment horizontal="left" vertical="center"/>
    </xf>
    <xf numFmtId="0" fontId="48" fillId="0" borderId="0" xfId="0" applyFont="1"/>
    <xf numFmtId="0" fontId="50" fillId="0" borderId="0" xfId="0" applyFont="1" applyAlignment="1">
      <alignment wrapText="1"/>
    </xf>
    <xf numFmtId="9" fontId="49" fillId="0" borderId="7" xfId="0" applyNumberFormat="1" applyFont="1" applyBorder="1" applyAlignment="1">
      <alignment horizontal="center" vertical="center" wrapText="1"/>
    </xf>
    <xf numFmtId="9" fontId="53" fillId="0" borderId="7" xfId="0" applyNumberFormat="1" applyFont="1" applyBorder="1" applyAlignment="1">
      <alignment horizontal="center" vertical="center" wrapText="1"/>
    </xf>
    <xf numFmtId="9" fontId="52" fillId="0" borderId="7" xfId="0" applyNumberFormat="1" applyFont="1" applyBorder="1" applyAlignment="1">
      <alignment horizontal="center" vertical="center" wrapText="1"/>
    </xf>
    <xf numFmtId="0" fontId="58" fillId="0" borderId="7" xfId="0" applyFont="1" applyBorder="1" applyAlignment="1">
      <alignment horizontal="left" vertical="center" wrapText="1"/>
    </xf>
    <xf numFmtId="0" fontId="59" fillId="0" borderId="7" xfId="0" applyFont="1" applyBorder="1" applyAlignment="1">
      <alignment horizontal="left" vertical="center" wrapText="1"/>
    </xf>
    <xf numFmtId="0" fontId="59" fillId="0" borderId="7" xfId="0" applyFont="1" applyBorder="1" applyAlignment="1">
      <alignment vertical="center" wrapText="1"/>
    </xf>
    <xf numFmtId="0" fontId="65" fillId="5" borderId="7" xfId="0" applyFont="1" applyFill="1" applyBorder="1" applyAlignment="1">
      <alignment horizontal="center" wrapText="1"/>
    </xf>
    <xf numFmtId="10" fontId="66" fillId="0" borderId="2" xfId="0" applyNumberFormat="1" applyFont="1" applyBorder="1" applyAlignment="1" applyProtection="1">
      <alignment vertical="center"/>
      <protection locked="0"/>
    </xf>
    <xf numFmtId="9" fontId="66" fillId="0" borderId="7" xfId="0" applyNumberFormat="1" applyFont="1" applyBorder="1" applyAlignment="1" applyProtection="1">
      <alignment horizontal="center" vertical="center"/>
      <protection locked="0"/>
    </xf>
    <xf numFmtId="10" fontId="55" fillId="0" borderId="18" xfId="0" applyNumberFormat="1" applyFont="1" applyBorder="1" applyAlignment="1" applyProtection="1">
      <alignment horizontal="center" vertical="center"/>
      <protection locked="0"/>
    </xf>
    <xf numFmtId="9" fontId="66" fillId="0" borderId="9" xfId="0" applyNumberFormat="1" applyFont="1" applyBorder="1" applyAlignment="1" applyProtection="1">
      <alignment horizontal="center" vertical="center"/>
      <protection locked="0"/>
    </xf>
    <xf numFmtId="9" fontId="55" fillId="0" borderId="21" xfId="0" applyNumberFormat="1" applyFont="1" applyBorder="1" applyAlignment="1" applyProtection="1">
      <alignment horizontal="center" vertical="center"/>
      <protection locked="0"/>
    </xf>
    <xf numFmtId="9" fontId="66" fillId="0" borderId="2" xfId="0" applyNumberFormat="1" applyFont="1" applyBorder="1" applyAlignment="1" applyProtection="1">
      <alignment horizontal="center" vertical="center"/>
      <protection locked="0"/>
    </xf>
    <xf numFmtId="9" fontId="66" fillId="0" borderId="10" xfId="0" applyNumberFormat="1" applyFont="1" applyBorder="1" applyAlignment="1" applyProtection="1">
      <alignment horizontal="center" vertical="center"/>
      <protection locked="0"/>
    </xf>
    <xf numFmtId="9" fontId="55" fillId="3" borderId="18" xfId="0" applyNumberFormat="1" applyFont="1" applyFill="1" applyBorder="1" applyAlignment="1" applyProtection="1">
      <alignment horizontal="center" vertical="center"/>
      <protection locked="0"/>
    </xf>
    <xf numFmtId="10" fontId="54" fillId="5" borderId="11" xfId="0" applyNumberFormat="1" applyFont="1" applyFill="1" applyBorder="1" applyAlignment="1" applyProtection="1">
      <alignment horizontal="center" vertical="center" wrapText="1"/>
      <protection locked="0"/>
    </xf>
    <xf numFmtId="0" fontId="63" fillId="3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67" fillId="0" borderId="0" xfId="0" applyFont="1" applyAlignment="1">
      <alignment vertical="center"/>
    </xf>
    <xf numFmtId="9" fontId="44" fillId="0" borderId="7" xfId="1" applyFont="1" applyFill="1" applyBorder="1" applyAlignment="1">
      <alignment horizontal="center" vertical="center"/>
    </xf>
    <xf numFmtId="9" fontId="43" fillId="4" borderId="7" xfId="0" applyNumberFormat="1" applyFont="1" applyFill="1" applyBorder="1" applyAlignment="1">
      <alignment horizontal="center" vertical="center" wrapText="1"/>
    </xf>
    <xf numFmtId="0" fontId="68" fillId="0" borderId="7" xfId="0" applyFont="1" applyBorder="1" applyAlignment="1">
      <alignment vertical="center" wrapText="1"/>
    </xf>
    <xf numFmtId="0" fontId="69" fillId="0" borderId="7" xfId="0" applyFont="1" applyBorder="1" applyAlignment="1">
      <alignment vertical="center" wrapText="1"/>
    </xf>
    <xf numFmtId="9" fontId="71" fillId="0" borderId="7" xfId="0" applyNumberFormat="1" applyFont="1" applyBorder="1" applyAlignment="1">
      <alignment horizontal="center" vertical="center" wrapText="1"/>
    </xf>
    <xf numFmtId="0" fontId="70" fillId="9" borderId="7" xfId="0" applyFont="1" applyFill="1" applyBorder="1" applyAlignment="1">
      <alignment wrapText="1"/>
    </xf>
    <xf numFmtId="0" fontId="68" fillId="9" borderId="7" xfId="0" applyFont="1" applyFill="1" applyBorder="1" applyAlignment="1">
      <alignment wrapText="1"/>
    </xf>
    <xf numFmtId="0" fontId="70" fillId="9" borderId="7" xfId="0" applyFont="1" applyFill="1" applyBorder="1" applyAlignment="1">
      <alignment horizontal="center" wrapText="1"/>
    </xf>
    <xf numFmtId="0" fontId="72" fillId="5" borderId="7" xfId="0" applyFont="1" applyFill="1" applyBorder="1" applyAlignment="1">
      <alignment horizontal="center" wrapText="1"/>
    </xf>
    <xf numFmtId="9" fontId="72" fillId="5" borderId="7" xfId="1" applyFont="1" applyFill="1" applyBorder="1" applyAlignment="1" applyProtection="1">
      <alignment horizontal="center" wrapText="1"/>
    </xf>
    <xf numFmtId="9" fontId="72" fillId="16" borderId="7" xfId="1" applyFont="1" applyFill="1" applyBorder="1" applyAlignment="1" applyProtection="1">
      <alignment horizontal="center" wrapText="1"/>
    </xf>
    <xf numFmtId="0" fontId="0" fillId="0" borderId="7" xfId="0" applyBorder="1"/>
    <xf numFmtId="0" fontId="50" fillId="0" borderId="7" xfId="0" applyFont="1" applyBorder="1" applyAlignment="1">
      <alignment vertical="center" wrapText="1"/>
    </xf>
    <xf numFmtId="0" fontId="45" fillId="0" borderId="0" xfId="0" applyFont="1" applyAlignment="1">
      <alignment horizontal="center" vertical="center" wrapText="1"/>
    </xf>
    <xf numFmtId="9" fontId="53" fillId="0" borderId="2" xfId="0" applyNumberFormat="1" applyFont="1" applyBorder="1" applyAlignment="1">
      <alignment horizontal="center" vertical="center" wrapText="1"/>
    </xf>
    <xf numFmtId="9" fontId="52" fillId="0" borderId="9" xfId="0" applyNumberFormat="1" applyFont="1" applyBorder="1" applyAlignment="1">
      <alignment horizontal="center" vertical="center" wrapText="1"/>
    </xf>
    <xf numFmtId="0" fontId="46" fillId="0" borderId="37" xfId="0" applyFont="1" applyBorder="1" applyAlignment="1">
      <alignment horizontal="center" vertical="center" wrapText="1"/>
    </xf>
    <xf numFmtId="9" fontId="49" fillId="0" borderId="9" xfId="0" applyNumberFormat="1" applyFont="1" applyBorder="1" applyAlignment="1">
      <alignment horizontal="center" vertical="center" wrapText="1"/>
    </xf>
    <xf numFmtId="0" fontId="50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50" fillId="0" borderId="50" xfId="0" applyFont="1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50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9" fontId="52" fillId="0" borderId="56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50" fillId="0" borderId="35" xfId="0" applyFont="1" applyBorder="1" applyAlignment="1">
      <alignment vertical="center" wrapText="1"/>
    </xf>
    <xf numFmtId="0" fontId="0" fillId="0" borderId="69" xfId="0" applyBorder="1" applyAlignment="1">
      <alignment vertical="center"/>
    </xf>
    <xf numFmtId="9" fontId="53" fillId="0" borderId="9" xfId="0" applyNumberFormat="1" applyFont="1" applyBorder="1" applyAlignment="1">
      <alignment horizontal="center" vertical="center" wrapText="1"/>
    </xf>
    <xf numFmtId="0" fontId="54" fillId="5" borderId="35" xfId="0" applyFont="1" applyFill="1" applyBorder="1" applyAlignment="1">
      <alignment horizontal="center" wrapText="1"/>
    </xf>
    <xf numFmtId="9" fontId="54" fillId="5" borderId="35" xfId="1" applyFont="1" applyFill="1" applyBorder="1" applyAlignment="1" applyProtection="1">
      <alignment horizontal="center" wrapText="1"/>
    </xf>
    <xf numFmtId="9" fontId="54" fillId="5" borderId="69" xfId="1" applyFont="1" applyFill="1" applyBorder="1" applyAlignment="1" applyProtection="1">
      <alignment horizontal="center" wrapText="1"/>
    </xf>
    <xf numFmtId="9" fontId="53" fillId="0" borderId="35" xfId="0" applyNumberFormat="1" applyFont="1" applyBorder="1" applyAlignment="1">
      <alignment horizontal="center" vertical="center" wrapText="1"/>
    </xf>
    <xf numFmtId="0" fontId="69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9" fontId="71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68" fillId="0" borderId="9" xfId="0" applyFont="1" applyBorder="1" applyAlignment="1">
      <alignment vertical="center" wrapText="1"/>
    </xf>
    <xf numFmtId="0" fontId="69" fillId="0" borderId="9" xfId="0" applyFont="1" applyBorder="1" applyAlignment="1">
      <alignment vertical="center" wrapText="1"/>
    </xf>
    <xf numFmtId="9" fontId="71" fillId="0" borderId="9" xfId="0" applyNumberFormat="1" applyFont="1" applyBorder="1" applyAlignment="1">
      <alignment horizontal="center" vertical="center" wrapText="1"/>
    </xf>
    <xf numFmtId="0" fontId="0" fillId="0" borderId="9" xfId="0" applyBorder="1"/>
    <xf numFmtId="0" fontId="69" fillId="0" borderId="35" xfId="0" applyFont="1" applyBorder="1" applyAlignment="1">
      <alignment vertical="center" wrapText="1"/>
    </xf>
    <xf numFmtId="0" fontId="68" fillId="0" borderId="35" xfId="0" applyFont="1" applyBorder="1" applyAlignment="1">
      <alignment vertical="center" wrapText="1"/>
    </xf>
    <xf numFmtId="9" fontId="70" fillId="0" borderId="35" xfId="0" applyNumberFormat="1" applyFont="1" applyBorder="1" applyAlignment="1">
      <alignment horizontal="center" vertical="center" wrapText="1"/>
    </xf>
    <xf numFmtId="0" fontId="0" fillId="0" borderId="35" xfId="0" applyBorder="1"/>
    <xf numFmtId="0" fontId="71" fillId="0" borderId="34" xfId="0" applyFont="1" applyBorder="1" applyAlignment="1">
      <alignment vertical="center" wrapText="1"/>
    </xf>
    <xf numFmtId="0" fontId="0" fillId="16" borderId="7" xfId="0" applyFill="1" applyBorder="1"/>
    <xf numFmtId="0" fontId="0" fillId="16" borderId="2" xfId="0" applyFill="1" applyBorder="1"/>
    <xf numFmtId="0" fontId="0" fillId="16" borderId="35" xfId="0" applyFill="1" applyBorder="1"/>
    <xf numFmtId="0" fontId="0" fillId="16" borderId="9" xfId="0" applyFill="1" applyBorder="1"/>
    <xf numFmtId="0" fontId="71" fillId="0" borderId="71" xfId="0" applyFont="1" applyBorder="1" applyAlignment="1">
      <alignment vertical="center" wrapText="1"/>
    </xf>
    <xf numFmtId="0" fontId="69" fillId="0" borderId="72" xfId="0" applyFont="1" applyBorder="1" applyAlignment="1">
      <alignment vertical="center" wrapText="1"/>
    </xf>
    <xf numFmtId="0" fontId="68" fillId="0" borderId="72" xfId="0" applyFont="1" applyBorder="1" applyAlignment="1">
      <alignment vertical="center" wrapText="1"/>
    </xf>
    <xf numFmtId="9" fontId="70" fillId="0" borderId="72" xfId="0" applyNumberFormat="1" applyFont="1" applyBorder="1" applyAlignment="1">
      <alignment horizontal="center" vertical="center" wrapText="1"/>
    </xf>
    <xf numFmtId="0" fontId="0" fillId="0" borderId="72" xfId="0" applyBorder="1"/>
    <xf numFmtId="0" fontId="0" fillId="16" borderId="72" xfId="0" applyFill="1" applyBorder="1"/>
    <xf numFmtId="164" fontId="7" fillId="19" borderId="7" xfId="2" applyNumberFormat="1" applyFont="1" applyFill="1" applyBorder="1" applyAlignment="1" applyProtection="1">
      <alignment horizontal="left" vertical="center"/>
    </xf>
    <xf numFmtId="0" fontId="0" fillId="19" borderId="7" xfId="0" applyFill="1" applyBorder="1"/>
    <xf numFmtId="0" fontId="0" fillId="19" borderId="7" xfId="0" applyFill="1" applyBorder="1" applyAlignment="1">
      <alignment horizontal="center"/>
    </xf>
    <xf numFmtId="0" fontId="3" fillId="0" borderId="99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7" fillId="7" borderId="12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73" fillId="3" borderId="100" xfId="0" applyFont="1" applyFill="1" applyBorder="1" applyAlignment="1">
      <alignment horizontal="left" vertical="center" wrapText="1"/>
    </xf>
    <xf numFmtId="0" fontId="72" fillId="0" borderId="100" xfId="0" applyFont="1" applyBorder="1" applyAlignment="1">
      <alignment horizontal="center" vertical="center" wrapText="1"/>
    </xf>
    <xf numFmtId="0" fontId="73" fillId="0" borderId="100" xfId="0" applyFont="1" applyBorder="1" applyAlignment="1">
      <alignment vertical="center" wrapText="1"/>
    </xf>
    <xf numFmtId="0" fontId="73" fillId="0" borderId="100" xfId="0" applyFont="1" applyBorder="1" applyAlignment="1">
      <alignment horizontal="center" vertical="center" wrapText="1"/>
    </xf>
    <xf numFmtId="0" fontId="72" fillId="3" borderId="10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75" fillId="0" borderId="0" xfId="0" applyFont="1" applyAlignment="1">
      <alignment vertical="center"/>
    </xf>
    <xf numFmtId="0" fontId="74" fillId="2" borderId="0" xfId="0" applyFont="1" applyFill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0" fontId="65" fillId="3" borderId="2" xfId="0" applyFont="1" applyFill="1" applyBorder="1" applyAlignment="1">
      <alignment vertical="center" wrapText="1"/>
    </xf>
    <xf numFmtId="0" fontId="65" fillId="3" borderId="7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vertical="center" wrapText="1"/>
    </xf>
    <xf numFmtId="0" fontId="77" fillId="2" borderId="35" xfId="0" applyFont="1" applyFill="1" applyBorder="1" applyAlignment="1">
      <alignment horizontal="center" vertical="center" textRotation="90" wrapText="1"/>
    </xf>
    <xf numFmtId="9" fontId="65" fillId="3" borderId="35" xfId="0" applyNumberFormat="1" applyFont="1" applyFill="1" applyBorder="1" applyAlignment="1">
      <alignment horizontal="center" vertical="center" wrapText="1"/>
    </xf>
    <xf numFmtId="0" fontId="2" fillId="0" borderId="56" xfId="0" applyFont="1" applyBorder="1" applyAlignment="1">
      <alignment vertical="center" wrapText="1"/>
    </xf>
    <xf numFmtId="0" fontId="75" fillId="22" borderId="48" xfId="0" applyFont="1" applyFill="1" applyBorder="1" applyAlignment="1">
      <alignment horizontal="left" vertical="center" wrapText="1"/>
    </xf>
    <xf numFmtId="0" fontId="78" fillId="0" borderId="57" xfId="0" applyFont="1" applyBorder="1" applyAlignment="1">
      <alignment vertical="center" wrapText="1"/>
    </xf>
    <xf numFmtId="0" fontId="79" fillId="0" borderId="35" xfId="0" applyFont="1" applyBorder="1" applyAlignment="1">
      <alignment vertical="center" wrapText="1"/>
    </xf>
    <xf numFmtId="10" fontId="79" fillId="0" borderId="35" xfId="0" applyNumberFormat="1" applyFont="1" applyBorder="1" applyAlignment="1" applyProtection="1">
      <alignment vertical="center"/>
      <protection locked="0"/>
    </xf>
    <xf numFmtId="10" fontId="77" fillId="0" borderId="35" xfId="0" applyNumberFormat="1" applyFont="1" applyBorder="1" applyAlignment="1">
      <alignment vertical="center"/>
    </xf>
    <xf numFmtId="10" fontId="2" fillId="0" borderId="35" xfId="0" applyNumberFormat="1" applyFont="1" applyBorder="1" applyAlignment="1" applyProtection="1">
      <alignment vertical="center"/>
      <protection locked="0"/>
    </xf>
    <xf numFmtId="10" fontId="2" fillId="0" borderId="35" xfId="1" applyNumberFormat="1" applyFont="1" applyFill="1" applyBorder="1" applyAlignment="1" applyProtection="1">
      <alignment vertical="center" wrapText="1"/>
    </xf>
    <xf numFmtId="165" fontId="2" fillId="0" borderId="35" xfId="1" applyNumberFormat="1" applyFont="1" applyFill="1" applyBorder="1" applyAlignment="1" applyProtection="1">
      <alignment vertical="center" wrapText="1"/>
    </xf>
    <xf numFmtId="0" fontId="75" fillId="0" borderId="35" xfId="0" applyFont="1" applyBorder="1" applyAlignment="1">
      <alignment vertical="center"/>
    </xf>
    <xf numFmtId="0" fontId="75" fillId="0" borderId="61" xfId="0" applyFont="1" applyBorder="1" applyAlignment="1">
      <alignment vertical="center" wrapText="1"/>
    </xf>
    <xf numFmtId="9" fontId="79" fillId="0" borderId="62" xfId="0" applyNumberFormat="1" applyFont="1" applyBorder="1" applyAlignment="1" applyProtection="1">
      <alignment horizontal="center" vertical="center"/>
      <protection locked="0"/>
    </xf>
    <xf numFmtId="1" fontId="77" fillId="0" borderId="62" xfId="0" applyNumberFormat="1" applyFont="1" applyBorder="1" applyAlignment="1">
      <alignment horizontal="center" vertical="center"/>
    </xf>
    <xf numFmtId="1" fontId="2" fillId="0" borderId="62" xfId="0" applyNumberFormat="1" applyFont="1" applyBorder="1" applyAlignment="1">
      <alignment horizontal="center" vertical="center"/>
    </xf>
    <xf numFmtId="1" fontId="2" fillId="16" borderId="62" xfId="0" applyNumberFormat="1" applyFont="1" applyFill="1" applyBorder="1" applyAlignment="1">
      <alignment horizontal="center" vertical="center"/>
    </xf>
    <xf numFmtId="9" fontId="2" fillId="0" borderId="62" xfId="1" applyFont="1" applyBorder="1" applyAlignment="1">
      <alignment horizontal="center" vertical="center"/>
    </xf>
    <xf numFmtId="10" fontId="2" fillId="8" borderId="62" xfId="1" applyNumberFormat="1" applyFont="1" applyFill="1" applyBorder="1" applyAlignment="1" applyProtection="1">
      <alignment horizontal="center" vertical="center" wrapText="1"/>
    </xf>
    <xf numFmtId="10" fontId="2" fillId="8" borderId="63" xfId="1" applyNumberFormat="1" applyFont="1" applyFill="1" applyBorder="1" applyAlignment="1" applyProtection="1">
      <alignment horizontal="center" vertical="center" wrapText="1"/>
    </xf>
    <xf numFmtId="0" fontId="75" fillId="0" borderId="5" xfId="0" applyFont="1" applyBorder="1" applyAlignment="1">
      <alignment vertical="center" wrapText="1"/>
    </xf>
    <xf numFmtId="9" fontId="79" fillId="0" borderId="2" xfId="0" applyNumberFormat="1" applyFont="1" applyBorder="1" applyAlignment="1" applyProtection="1">
      <alignment horizontal="center" vertical="center"/>
      <protection locked="0"/>
    </xf>
    <xf numFmtId="1" fontId="77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16" borderId="7" xfId="0" applyNumberFormat="1" applyFont="1" applyFill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10" fontId="2" fillId="8" borderId="7" xfId="1" applyNumberFormat="1" applyFont="1" applyFill="1" applyBorder="1" applyAlignment="1" applyProtection="1">
      <alignment horizontal="center" vertical="center" wrapText="1"/>
    </xf>
    <xf numFmtId="10" fontId="2" fillId="8" borderId="65" xfId="1" applyNumberFormat="1" applyFont="1" applyFill="1" applyBorder="1" applyAlignment="1" applyProtection="1">
      <alignment horizontal="center" vertical="center" wrapText="1"/>
    </xf>
    <xf numFmtId="0" fontId="75" fillId="0" borderId="52" xfId="0" applyFont="1" applyBorder="1" applyAlignment="1">
      <alignment vertical="center" wrapText="1"/>
    </xf>
    <xf numFmtId="9" fontId="79" fillId="0" borderId="7" xfId="0" applyNumberFormat="1" applyFont="1" applyBorder="1" applyAlignment="1" applyProtection="1">
      <alignment horizontal="center" vertical="center"/>
      <protection locked="0"/>
    </xf>
    <xf numFmtId="0" fontId="75" fillId="0" borderId="17" xfId="0" applyFont="1" applyBorder="1" applyAlignment="1">
      <alignment vertical="center" wrapText="1"/>
    </xf>
    <xf numFmtId="9" fontId="79" fillId="0" borderId="6" xfId="0" applyNumberFormat="1" applyFont="1" applyBorder="1" applyAlignment="1" applyProtection="1">
      <alignment horizontal="center" vertical="center"/>
      <protection locked="0"/>
    </xf>
    <xf numFmtId="1" fontId="77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16" borderId="2" xfId="0" applyNumberFormat="1" applyFont="1" applyFill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10" fontId="2" fillId="8" borderId="2" xfId="1" applyNumberFormat="1" applyFont="1" applyFill="1" applyBorder="1" applyAlignment="1" applyProtection="1">
      <alignment horizontal="center" vertical="center" wrapText="1"/>
    </xf>
    <xf numFmtId="0" fontId="75" fillId="0" borderId="48" xfId="0" applyFont="1" applyBorder="1" applyAlignment="1">
      <alignment vertical="top" wrapText="1"/>
    </xf>
    <xf numFmtId="0" fontId="75" fillId="0" borderId="57" xfId="0" applyFont="1" applyBorder="1" applyAlignment="1">
      <alignment vertical="center" wrapText="1"/>
    </xf>
    <xf numFmtId="9" fontId="77" fillId="0" borderId="35" xfId="0" applyNumberFormat="1" applyFont="1" applyBorder="1" applyAlignment="1" applyProtection="1">
      <alignment horizontal="center" vertical="center"/>
      <protection locked="0"/>
    </xf>
    <xf numFmtId="10" fontId="65" fillId="0" borderId="35" xfId="0" applyNumberFormat="1" applyFont="1" applyBorder="1" applyAlignment="1" applyProtection="1">
      <alignment horizontal="center" vertical="center"/>
      <protection locked="0"/>
    </xf>
    <xf numFmtId="9" fontId="65" fillId="4" borderId="35" xfId="0" applyNumberFormat="1" applyFont="1" applyFill="1" applyBorder="1" applyAlignment="1" applyProtection="1">
      <alignment horizontal="center" vertical="center" wrapText="1"/>
      <protection locked="0"/>
    </xf>
    <xf numFmtId="10" fontId="65" fillId="8" borderId="35" xfId="0" applyNumberFormat="1" applyFont="1" applyFill="1" applyBorder="1" applyAlignment="1" applyProtection="1">
      <alignment horizontal="center" vertical="center" wrapText="1"/>
      <protection locked="0"/>
    </xf>
    <xf numFmtId="10" fontId="65" fillId="8" borderId="69" xfId="0" applyNumberFormat="1" applyFont="1" applyFill="1" applyBorder="1" applyAlignment="1" applyProtection="1">
      <alignment horizontal="center" vertical="center" wrapText="1"/>
      <protection locked="0"/>
    </xf>
    <xf numFmtId="1" fontId="65" fillId="16" borderId="62" xfId="0" applyNumberFormat="1" applyFont="1" applyFill="1" applyBorder="1" applyAlignment="1">
      <alignment horizontal="center" vertical="center"/>
    </xf>
    <xf numFmtId="165" fontId="2" fillId="0" borderId="62" xfId="1" applyNumberFormat="1" applyFont="1" applyFill="1" applyBorder="1" applyAlignment="1" applyProtection="1">
      <alignment vertical="center" wrapText="1"/>
    </xf>
    <xf numFmtId="10" fontId="2" fillId="9" borderId="62" xfId="1" applyNumberFormat="1" applyFont="1" applyFill="1" applyBorder="1" applyAlignment="1" applyProtection="1">
      <alignment horizontal="center" vertical="center" wrapText="1"/>
    </xf>
    <xf numFmtId="10" fontId="2" fillId="9" borderId="63" xfId="1" applyNumberFormat="1" applyFont="1" applyFill="1" applyBorder="1" applyAlignment="1" applyProtection="1">
      <alignment horizontal="center" vertical="center" wrapText="1"/>
    </xf>
    <xf numFmtId="0" fontId="75" fillId="0" borderId="20" xfId="0" applyFont="1" applyBorder="1" applyAlignment="1">
      <alignment vertical="center" wrapText="1"/>
    </xf>
    <xf numFmtId="9" fontId="79" fillId="0" borderId="83" xfId="0" applyNumberFormat="1" applyFont="1" applyBorder="1" applyAlignment="1" applyProtection="1">
      <alignment horizontal="center" vertical="center"/>
      <protection locked="0"/>
    </xf>
    <xf numFmtId="1" fontId="77" fillId="0" borderId="83" xfId="0" applyNumberFormat="1" applyFont="1" applyBorder="1" applyAlignment="1">
      <alignment horizontal="center" vertical="center"/>
    </xf>
    <xf numFmtId="1" fontId="2" fillId="0" borderId="83" xfId="0" applyNumberFormat="1" applyFont="1" applyBorder="1" applyAlignment="1">
      <alignment horizontal="center" vertical="center"/>
    </xf>
    <xf numFmtId="1" fontId="65" fillId="16" borderId="83" xfId="0" applyNumberFormat="1" applyFont="1" applyFill="1" applyBorder="1" applyAlignment="1">
      <alignment horizontal="center" vertical="center"/>
    </xf>
    <xf numFmtId="165" fontId="2" fillId="0" borderId="83" xfId="1" applyNumberFormat="1" applyFont="1" applyFill="1" applyBorder="1" applyAlignment="1" applyProtection="1">
      <alignment vertical="center" wrapText="1"/>
    </xf>
    <xf numFmtId="10" fontId="2" fillId="9" borderId="83" xfId="1" applyNumberFormat="1" applyFont="1" applyFill="1" applyBorder="1" applyAlignment="1" applyProtection="1">
      <alignment horizontal="center" vertical="center" wrapText="1"/>
    </xf>
    <xf numFmtId="10" fontId="2" fillId="9" borderId="84" xfId="1" applyNumberFormat="1" applyFont="1" applyFill="1" applyBorder="1" applyAlignment="1" applyProtection="1">
      <alignment horizontal="center" vertical="center" wrapText="1"/>
    </xf>
    <xf numFmtId="1" fontId="65" fillId="16" borderId="7" xfId="0" applyNumberFormat="1" applyFont="1" applyFill="1" applyBorder="1" applyAlignment="1">
      <alignment horizontal="center" vertical="center"/>
    </xf>
    <xf numFmtId="165" fontId="2" fillId="0" borderId="7" xfId="1" applyNumberFormat="1" applyFont="1" applyFill="1" applyBorder="1" applyAlignment="1" applyProtection="1">
      <alignment vertical="center" wrapText="1"/>
    </xf>
    <xf numFmtId="10" fontId="2" fillId="9" borderId="2" xfId="1" applyNumberFormat="1" applyFont="1" applyFill="1" applyBorder="1" applyAlignment="1" applyProtection="1">
      <alignment horizontal="center" vertical="center" wrapText="1"/>
    </xf>
    <xf numFmtId="10" fontId="2" fillId="9" borderId="65" xfId="1" applyNumberFormat="1" applyFont="1" applyFill="1" applyBorder="1" applyAlignment="1" applyProtection="1">
      <alignment horizontal="center" vertical="center" wrapText="1"/>
    </xf>
    <xf numFmtId="0" fontId="75" fillId="0" borderId="54" xfId="0" applyFont="1" applyBorder="1" applyAlignment="1">
      <alignment vertical="center" wrapText="1"/>
    </xf>
    <xf numFmtId="1" fontId="77" fillId="0" borderId="2" xfId="0" applyNumberFormat="1" applyFont="1" applyBorder="1" applyAlignment="1">
      <alignment horizontal="center" vertical="center"/>
    </xf>
    <xf numFmtId="1" fontId="65" fillId="16" borderId="2" xfId="0" applyNumberFormat="1" applyFont="1" applyFill="1" applyBorder="1" applyAlignment="1">
      <alignment horizontal="center" vertical="center"/>
    </xf>
    <xf numFmtId="165" fontId="2" fillId="0" borderId="2" xfId="1" applyNumberFormat="1" applyFont="1" applyFill="1" applyBorder="1" applyAlignment="1" applyProtection="1">
      <alignment vertical="center" wrapText="1"/>
    </xf>
    <xf numFmtId="10" fontId="2" fillId="9" borderId="97" xfId="1" applyNumberFormat="1" applyFont="1" applyFill="1" applyBorder="1" applyAlignment="1" applyProtection="1">
      <alignment horizontal="center" vertical="center" wrapText="1"/>
    </xf>
    <xf numFmtId="0" fontId="75" fillId="0" borderId="98" xfId="0" applyFont="1" applyBorder="1" applyAlignment="1">
      <alignment vertical="center" wrapText="1"/>
    </xf>
    <xf numFmtId="10" fontId="2" fillId="9" borderId="72" xfId="1" applyNumberFormat="1" applyFont="1" applyFill="1" applyBorder="1" applyAlignment="1" applyProtection="1">
      <alignment horizontal="center" vertical="center" wrapText="1"/>
    </xf>
    <xf numFmtId="10" fontId="2" fillId="9" borderId="99" xfId="1" applyNumberFormat="1" applyFont="1" applyFill="1" applyBorder="1" applyAlignment="1" applyProtection="1">
      <alignment horizontal="center" vertical="center" wrapText="1"/>
    </xf>
    <xf numFmtId="0" fontId="17" fillId="0" borderId="5" xfId="0" applyFont="1" applyBorder="1" applyAlignment="1">
      <alignment vertical="top" wrapText="1"/>
    </xf>
    <xf numFmtId="0" fontId="2" fillId="0" borderId="49" xfId="0" applyFont="1" applyBorder="1" applyAlignment="1">
      <alignment horizontal="left" vertical="center" wrapText="1"/>
    </xf>
    <xf numFmtId="0" fontId="75" fillId="0" borderId="35" xfId="0" applyFont="1" applyBorder="1" applyAlignment="1">
      <alignment vertical="center" wrapText="1"/>
    </xf>
    <xf numFmtId="10" fontId="77" fillId="3" borderId="35" xfId="0" applyNumberFormat="1" applyFont="1" applyFill="1" applyBorder="1" applyAlignment="1">
      <alignment vertical="center"/>
    </xf>
    <xf numFmtId="10" fontId="65" fillId="3" borderId="35" xfId="0" applyNumberFormat="1" applyFont="1" applyFill="1" applyBorder="1" applyAlignment="1" applyProtection="1">
      <alignment horizontal="center" vertical="center"/>
      <protection locked="0"/>
    </xf>
    <xf numFmtId="9" fontId="65" fillId="4" borderId="69" xfId="0" applyNumberFormat="1" applyFont="1" applyFill="1" applyBorder="1" applyAlignment="1" applyProtection="1">
      <alignment horizontal="center" vertical="center" wrapText="1"/>
      <protection locked="0"/>
    </xf>
    <xf numFmtId="10" fontId="65" fillId="9" borderId="57" xfId="0" applyNumberFormat="1" applyFont="1" applyFill="1" applyBorder="1" applyAlignment="1" applyProtection="1">
      <alignment horizontal="center" vertical="center" wrapText="1"/>
      <protection locked="0"/>
    </xf>
    <xf numFmtId="10" fontId="65" fillId="9" borderId="6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49" xfId="0" applyFont="1" applyFill="1" applyBorder="1" applyAlignment="1">
      <alignment vertical="center"/>
    </xf>
    <xf numFmtId="0" fontId="65" fillId="5" borderId="34" xfId="0" applyFont="1" applyFill="1" applyBorder="1" applyAlignment="1">
      <alignment vertical="center"/>
    </xf>
    <xf numFmtId="9" fontId="65" fillId="5" borderId="35" xfId="0" applyNumberFormat="1" applyFont="1" applyFill="1" applyBorder="1" applyAlignment="1">
      <alignment horizontal="center" vertical="center" wrapText="1"/>
    </xf>
    <xf numFmtId="164" fontId="65" fillId="5" borderId="56" xfId="2" applyNumberFormat="1" applyFont="1" applyFill="1" applyBorder="1" applyAlignment="1" applyProtection="1">
      <alignment horizontal="center" vertical="center" wrapText="1"/>
    </xf>
    <xf numFmtId="0" fontId="65" fillId="5" borderId="48" xfId="0" applyFont="1" applyFill="1" applyBorder="1" applyAlignment="1">
      <alignment horizontal="center" vertical="center" wrapText="1"/>
    </xf>
    <xf numFmtId="0" fontId="65" fillId="5" borderId="57" xfId="0" applyFont="1" applyFill="1" applyBorder="1" applyAlignment="1">
      <alignment horizontal="center" vertical="center" wrapText="1"/>
    </xf>
    <xf numFmtId="0" fontId="65" fillId="5" borderId="35" xfId="0" applyFont="1" applyFill="1" applyBorder="1" applyAlignment="1">
      <alignment horizontal="center" vertical="center" wrapText="1"/>
    </xf>
    <xf numFmtId="10" fontId="65" fillId="5" borderId="35" xfId="0" applyNumberFormat="1" applyFont="1" applyFill="1" applyBorder="1" applyAlignment="1" applyProtection="1">
      <alignment horizontal="center" vertical="center" wrapText="1"/>
      <protection locked="0"/>
    </xf>
    <xf numFmtId="9" fontId="65" fillId="5" borderId="35" xfId="0" applyNumberFormat="1" applyFont="1" applyFill="1" applyBorder="1" applyAlignment="1" applyProtection="1">
      <alignment horizontal="center" vertical="center" wrapText="1"/>
      <protection locked="0"/>
    </xf>
    <xf numFmtId="0" fontId="75" fillId="0" borderId="50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67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9" fontId="2" fillId="3" borderId="0" xfId="1" applyFont="1" applyFill="1" applyBorder="1" applyAlignment="1" applyProtection="1">
      <alignment horizontal="center" vertical="center"/>
    </xf>
    <xf numFmtId="0" fontId="75" fillId="0" borderId="0" xfId="0" applyFont="1" applyAlignment="1">
      <alignment vertical="center" wrapText="1"/>
    </xf>
    <xf numFmtId="0" fontId="65" fillId="3" borderId="0" xfId="0" applyFont="1" applyFill="1" applyAlignment="1">
      <alignment vertical="center"/>
    </xf>
    <xf numFmtId="0" fontId="65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75" fillId="0" borderId="0" xfId="0" applyFont="1" applyAlignment="1">
      <alignment horizontal="center" vertical="center"/>
    </xf>
    <xf numFmtId="0" fontId="2" fillId="2" borderId="49" xfId="0" applyFont="1" applyFill="1" applyBorder="1" applyAlignment="1">
      <alignment horizontal="center" wrapText="1"/>
    </xf>
    <xf numFmtId="0" fontId="77" fillId="19" borderId="35" xfId="0" applyFont="1" applyFill="1" applyBorder="1" applyAlignment="1">
      <alignment horizontal="center" textRotation="90" wrapText="1"/>
    </xf>
    <xf numFmtId="0" fontId="65" fillId="5" borderId="35" xfId="0" applyFont="1" applyFill="1" applyBorder="1" applyAlignment="1">
      <alignment horizontal="center" wrapText="1"/>
    </xf>
    <xf numFmtId="0" fontId="65" fillId="5" borderId="56" xfId="0" applyFont="1" applyFill="1" applyBorder="1" applyAlignment="1">
      <alignment wrapText="1"/>
    </xf>
    <xf numFmtId="0" fontId="65" fillId="5" borderId="48" xfId="0" applyFont="1" applyFill="1" applyBorder="1" applyAlignment="1">
      <alignment horizontal="center" wrapText="1"/>
    </xf>
    <xf numFmtId="0" fontId="65" fillId="5" borderId="57" xfId="0" applyFont="1" applyFill="1" applyBorder="1" applyAlignment="1">
      <alignment horizontal="center" wrapText="1"/>
    </xf>
    <xf numFmtId="0" fontId="77" fillId="5" borderId="35" xfId="0" applyFont="1" applyFill="1" applyBorder="1" applyAlignment="1">
      <alignment horizontal="center" wrapText="1"/>
    </xf>
    <xf numFmtId="9" fontId="65" fillId="5" borderId="35" xfId="1" applyFont="1" applyFill="1" applyBorder="1" applyAlignment="1" applyProtection="1">
      <alignment horizontal="center" wrapText="1"/>
    </xf>
    <xf numFmtId="0" fontId="75" fillId="0" borderId="50" xfId="0" applyFont="1" applyBorder="1"/>
    <xf numFmtId="0" fontId="75" fillId="0" borderId="60" xfId="0" applyFont="1" applyBorder="1" applyAlignment="1">
      <alignment vertical="center" wrapText="1"/>
    </xf>
    <xf numFmtId="0" fontId="75" fillId="0" borderId="64" xfId="0" applyFont="1" applyBorder="1" applyAlignment="1">
      <alignment horizontal="left" vertical="center" wrapText="1"/>
    </xf>
    <xf numFmtId="0" fontId="75" fillId="0" borderId="64" xfId="0" applyFont="1" applyBorder="1" applyAlignment="1">
      <alignment vertical="center" wrapText="1"/>
    </xf>
    <xf numFmtId="0" fontId="75" fillId="0" borderId="66" xfId="0" applyFont="1" applyBorder="1" applyAlignment="1">
      <alignment vertical="center" wrapText="1"/>
    </xf>
    <xf numFmtId="0" fontId="78" fillId="0" borderId="66" xfId="0" applyFont="1" applyBorder="1" applyAlignment="1">
      <alignment vertical="center" wrapText="1"/>
    </xf>
    <xf numFmtId="0" fontId="75" fillId="0" borderId="60" xfId="0" applyFont="1" applyBorder="1" applyAlignment="1">
      <alignment horizontal="left" vertical="center" wrapText="1"/>
    </xf>
    <xf numFmtId="0" fontId="80" fillId="0" borderId="62" xfId="0" applyFont="1" applyBorder="1" applyAlignment="1">
      <alignment vertical="center" wrapText="1"/>
    </xf>
    <xf numFmtId="0" fontId="80" fillId="0" borderId="7" xfId="0" applyFont="1" applyBorder="1" applyAlignment="1">
      <alignment vertical="center" wrapText="1"/>
    </xf>
    <xf numFmtId="0" fontId="80" fillId="0" borderId="6" xfId="0" applyFont="1" applyBorder="1" applyAlignment="1">
      <alignment vertical="center" wrapText="1"/>
    </xf>
    <xf numFmtId="0" fontId="80" fillId="0" borderId="35" xfId="0" applyFont="1" applyBorder="1" applyAlignment="1">
      <alignment vertical="center" wrapText="1"/>
    </xf>
    <xf numFmtId="0" fontId="80" fillId="0" borderId="83" xfId="0" applyFont="1" applyBorder="1" applyAlignment="1">
      <alignment vertical="center" wrapText="1"/>
    </xf>
    <xf numFmtId="0" fontId="80" fillId="0" borderId="2" xfId="0" applyFont="1" applyBorder="1" applyAlignment="1">
      <alignment vertical="center" wrapText="1"/>
    </xf>
    <xf numFmtId="0" fontId="80" fillId="0" borderId="11" xfId="0" applyFont="1" applyBorder="1" applyAlignment="1">
      <alignment vertical="center" wrapText="1"/>
    </xf>
    <xf numFmtId="0" fontId="65" fillId="7" borderId="13" xfId="0" applyFont="1" applyFill="1" applyBorder="1" applyAlignment="1">
      <alignment horizontal="center" vertical="center"/>
    </xf>
    <xf numFmtId="0" fontId="65" fillId="7" borderId="14" xfId="0" applyFont="1" applyFill="1" applyBorder="1" applyAlignment="1">
      <alignment horizontal="center" vertical="center"/>
    </xf>
    <xf numFmtId="0" fontId="65" fillId="7" borderId="0" xfId="0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5" fillId="7" borderId="12" xfId="0" applyFont="1" applyFill="1" applyBorder="1" applyAlignment="1">
      <alignment horizontal="left" vertical="center"/>
    </xf>
    <xf numFmtId="0" fontId="2" fillId="3" borderId="100" xfId="0" applyFont="1" applyFill="1" applyBorder="1" applyAlignment="1">
      <alignment horizontal="left" vertical="center"/>
    </xf>
    <xf numFmtId="0" fontId="65" fillId="0" borderId="100" xfId="0" applyFont="1" applyBorder="1" applyAlignment="1">
      <alignment horizontal="center" vertical="center"/>
    </xf>
    <xf numFmtId="0" fontId="2" fillId="0" borderId="100" xfId="0" applyFont="1" applyBorder="1" applyAlignment="1">
      <alignment vertical="center"/>
    </xf>
    <xf numFmtId="0" fontId="2" fillId="0" borderId="100" xfId="0" applyFont="1" applyBorder="1" applyAlignment="1">
      <alignment horizontal="center" vertical="center"/>
    </xf>
    <xf numFmtId="0" fontId="73" fillId="2" borderId="0" xfId="0" applyFont="1" applyFill="1" applyAlignment="1">
      <alignment vertical="center"/>
    </xf>
    <xf numFmtId="0" fontId="72" fillId="7" borderId="12" xfId="0" applyFont="1" applyFill="1" applyBorder="1" applyAlignment="1">
      <alignment horizontal="left" vertical="center"/>
    </xf>
    <xf numFmtId="0" fontId="72" fillId="7" borderId="13" xfId="0" applyFont="1" applyFill="1" applyBorder="1" applyAlignment="1">
      <alignment horizontal="center" vertical="center"/>
    </xf>
    <xf numFmtId="0" fontId="72" fillId="7" borderId="14" xfId="0" applyFont="1" applyFill="1" applyBorder="1" applyAlignment="1">
      <alignment horizontal="center" vertical="center"/>
    </xf>
    <xf numFmtId="0" fontId="72" fillId="7" borderId="0" xfId="0" applyFont="1" applyFill="1" applyAlignment="1">
      <alignment horizontal="center" vertical="center"/>
    </xf>
    <xf numFmtId="0" fontId="73" fillId="3" borderId="0" xfId="0" applyFont="1" applyFill="1" applyAlignment="1">
      <alignment horizontal="center" vertical="center"/>
    </xf>
    <xf numFmtId="9" fontId="73" fillId="3" borderId="0" xfId="1" applyFont="1" applyFill="1" applyBorder="1" applyAlignment="1" applyProtection="1">
      <alignment horizontal="center" vertical="center"/>
    </xf>
    <xf numFmtId="0" fontId="59" fillId="0" borderId="0" xfId="0" applyFont="1" applyAlignment="1">
      <alignment vertical="center"/>
    </xf>
    <xf numFmtId="0" fontId="73" fillId="3" borderId="100" xfId="0" applyFont="1" applyFill="1" applyBorder="1" applyAlignment="1">
      <alignment horizontal="left" vertical="center"/>
    </xf>
    <xf numFmtId="0" fontId="72" fillId="0" borderId="100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0" borderId="100" xfId="0" applyFont="1" applyBorder="1" applyAlignment="1">
      <alignment vertical="center"/>
    </xf>
    <xf numFmtId="0" fontId="73" fillId="0" borderId="100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2" fillId="7" borderId="0" xfId="0" applyFont="1" applyFill="1" applyAlignment="1">
      <alignment horizontal="left" vertical="center"/>
    </xf>
    <xf numFmtId="0" fontId="36" fillId="0" borderId="2" xfId="0" applyFont="1" applyBorder="1"/>
    <xf numFmtId="0" fontId="36" fillId="0" borderId="2" xfId="0" applyFont="1" applyBorder="1" applyAlignment="1">
      <alignment wrapText="1"/>
    </xf>
    <xf numFmtId="0" fontId="36" fillId="0" borderId="2" xfId="0" applyFont="1" applyBorder="1" applyAlignment="1">
      <alignment horizontal="center"/>
    </xf>
    <xf numFmtId="9" fontId="43" fillId="4" borderId="2" xfId="0" applyNumberFormat="1" applyFont="1" applyFill="1" applyBorder="1" applyAlignment="1">
      <alignment horizontal="center" vertical="center" wrapText="1"/>
    </xf>
    <xf numFmtId="9" fontId="44" fillId="4" borderId="2" xfId="1" applyFont="1" applyFill="1" applyBorder="1" applyAlignment="1">
      <alignment horizontal="center" vertical="center"/>
    </xf>
    <xf numFmtId="9" fontId="65" fillId="19" borderId="7" xfId="0" applyNumberFormat="1" applyFont="1" applyFill="1" applyBorder="1" applyAlignment="1">
      <alignment horizontal="center" vertical="center"/>
    </xf>
    <xf numFmtId="164" fontId="65" fillId="19" borderId="7" xfId="2" applyNumberFormat="1" applyFont="1" applyFill="1" applyBorder="1" applyAlignment="1" applyProtection="1">
      <alignment horizontal="left" vertical="center"/>
    </xf>
    <xf numFmtId="0" fontId="36" fillId="19" borderId="7" xfId="0" applyFont="1" applyFill="1" applyBorder="1"/>
    <xf numFmtId="0" fontId="36" fillId="19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77" fillId="19" borderId="2" xfId="0" applyFont="1" applyFill="1" applyBorder="1" applyAlignment="1">
      <alignment horizontal="center" textRotation="90" wrapText="1"/>
    </xf>
    <xf numFmtId="0" fontId="65" fillId="5" borderId="2" xfId="0" applyFont="1" applyFill="1" applyBorder="1" applyAlignment="1">
      <alignment horizontal="center" wrapText="1"/>
    </xf>
    <xf numFmtId="0" fontId="65" fillId="5" borderId="54" xfId="0" applyFont="1" applyFill="1" applyBorder="1" applyAlignment="1">
      <alignment horizontal="center" wrapText="1"/>
    </xf>
    <xf numFmtId="0" fontId="77" fillId="5" borderId="2" xfId="0" applyFont="1" applyFill="1" applyBorder="1" applyAlignment="1">
      <alignment horizontal="center" wrapText="1"/>
    </xf>
    <xf numFmtId="9" fontId="65" fillId="5" borderId="2" xfId="1" applyFont="1" applyFill="1" applyBorder="1" applyAlignment="1" applyProtection="1">
      <alignment horizontal="center" wrapText="1"/>
    </xf>
    <xf numFmtId="9" fontId="65" fillId="5" borderId="7" xfId="1" applyFont="1" applyFill="1" applyBorder="1" applyAlignment="1" applyProtection="1">
      <alignment horizontal="center" wrapText="1"/>
    </xf>
    <xf numFmtId="0" fontId="75" fillId="0" borderId="0" xfId="0" applyFont="1"/>
    <xf numFmtId="0" fontId="65" fillId="7" borderId="0" xfId="0" applyFont="1" applyFill="1" applyAlignment="1">
      <alignment horizontal="center" vertical="center" wrapText="1"/>
    </xf>
    <xf numFmtId="0" fontId="65" fillId="7" borderId="0" xfId="0" applyFont="1" applyFill="1" applyAlignment="1">
      <alignment horizontal="left" vertical="center"/>
    </xf>
    <xf numFmtId="0" fontId="6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5" fillId="7" borderId="101" xfId="0" applyFont="1" applyFill="1" applyBorder="1" applyAlignment="1">
      <alignment horizontal="center" vertical="center"/>
    </xf>
    <xf numFmtId="0" fontId="65" fillId="7" borderId="102" xfId="0" applyFont="1" applyFill="1" applyBorder="1" applyAlignment="1">
      <alignment horizontal="center" vertical="center" wrapText="1"/>
    </xf>
    <xf numFmtId="0" fontId="65" fillId="7" borderId="103" xfId="0" applyFont="1" applyFill="1" applyBorder="1" applyAlignment="1">
      <alignment horizontal="center" vertical="center" wrapText="1"/>
    </xf>
    <xf numFmtId="0" fontId="77" fillId="19" borderId="7" xfId="0" applyFont="1" applyFill="1" applyBorder="1" applyAlignment="1">
      <alignment horizontal="center" textRotation="90" wrapText="1"/>
    </xf>
    <xf numFmtId="0" fontId="77" fillId="5" borderId="7" xfId="0" applyFont="1" applyFill="1" applyBorder="1" applyAlignment="1">
      <alignment horizontal="center" wrapText="1"/>
    </xf>
    <xf numFmtId="9" fontId="43" fillId="0" borderId="7" xfId="0" applyNumberFormat="1" applyFont="1" applyBorder="1" applyAlignment="1">
      <alignment horizontal="center" vertical="center" wrapText="1"/>
    </xf>
    <xf numFmtId="9" fontId="36" fillId="0" borderId="0" xfId="1" applyFont="1" applyFill="1"/>
    <xf numFmtId="0" fontId="59" fillId="0" borderId="9" xfId="0" applyFont="1" applyBorder="1" applyAlignment="1">
      <alignment vertical="center" wrapText="1"/>
    </xf>
    <xf numFmtId="0" fontId="80" fillId="0" borderId="7" xfId="0" applyFont="1" applyBorder="1" applyAlignment="1">
      <alignment horizontal="left" vertical="center" wrapText="1"/>
    </xf>
    <xf numFmtId="0" fontId="80" fillId="0" borderId="10" xfId="0" applyFont="1" applyBorder="1" applyAlignment="1">
      <alignment vertical="center" wrapText="1"/>
    </xf>
    <xf numFmtId="0" fontId="80" fillId="0" borderId="9" xfId="0" applyFont="1" applyBorder="1" applyAlignment="1">
      <alignment vertical="center" wrapText="1"/>
    </xf>
    <xf numFmtId="1" fontId="55" fillId="0" borderId="7" xfId="0" applyNumberFormat="1" applyFont="1" applyBorder="1" applyAlignment="1">
      <alignment horizontal="center" vertical="center"/>
    </xf>
    <xf numFmtId="10" fontId="55" fillId="0" borderId="10" xfId="0" applyNumberFormat="1" applyFont="1" applyBorder="1" applyAlignment="1">
      <alignment vertical="center"/>
    </xf>
    <xf numFmtId="0" fontId="45" fillId="19" borderId="7" xfId="0" applyFont="1" applyFill="1" applyBorder="1" applyAlignment="1">
      <alignment horizontal="left" vertical="center" wrapText="1"/>
    </xf>
    <xf numFmtId="0" fontId="45" fillId="19" borderId="7" xfId="0" applyFont="1" applyFill="1" applyBorder="1" applyAlignment="1">
      <alignment horizontal="center" vertical="center" wrapText="1"/>
    </xf>
    <xf numFmtId="0" fontId="81" fillId="19" borderId="7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center" vertical="center" wrapText="1"/>
    </xf>
    <xf numFmtId="0" fontId="28" fillId="19" borderId="57" xfId="0" applyFont="1" applyFill="1" applyBorder="1" applyAlignment="1">
      <alignment horizontal="center" vertical="center" wrapText="1"/>
    </xf>
    <xf numFmtId="0" fontId="83" fillId="0" borderId="72" xfId="0" applyFont="1" applyBorder="1" applyAlignment="1">
      <alignment horizontal="center" vertical="center" wrapText="1"/>
    </xf>
    <xf numFmtId="0" fontId="83" fillId="0" borderId="77" xfId="0" applyFont="1" applyBorder="1" applyAlignment="1">
      <alignment horizontal="left" vertical="center" wrapText="1"/>
    </xf>
    <xf numFmtId="9" fontId="83" fillId="0" borderId="53" xfId="0" applyNumberFormat="1" applyFont="1" applyBorder="1" applyAlignment="1">
      <alignment horizontal="center" vertical="center" wrapText="1"/>
    </xf>
    <xf numFmtId="0" fontId="83" fillId="0" borderId="37" xfId="0" applyFont="1" applyBorder="1" applyAlignment="1">
      <alignment horizontal="left" vertical="center" wrapText="1"/>
    </xf>
    <xf numFmtId="9" fontId="83" fillId="0" borderId="3" xfId="0" applyNumberFormat="1" applyFont="1" applyBorder="1" applyAlignment="1">
      <alignment horizontal="center" vertical="center" wrapText="1"/>
    </xf>
    <xf numFmtId="0" fontId="83" fillId="0" borderId="6" xfId="0" applyFont="1" applyBorder="1" applyAlignment="1">
      <alignment vertical="center" wrapText="1"/>
    </xf>
    <xf numFmtId="0" fontId="83" fillId="0" borderId="37" xfId="0" applyFont="1" applyBorder="1" applyAlignment="1">
      <alignment vertical="center" wrapText="1"/>
    </xf>
    <xf numFmtId="9" fontId="83" fillId="0" borderId="55" xfId="0" applyNumberFormat="1" applyFont="1" applyBorder="1" applyAlignment="1">
      <alignment horizontal="center" vertical="center" wrapText="1"/>
    </xf>
    <xf numFmtId="0" fontId="82" fillId="0" borderId="58" xfId="0" applyFont="1" applyBorder="1" applyAlignment="1">
      <alignment horizontal="center" vertical="center" wrapText="1"/>
    </xf>
    <xf numFmtId="0" fontId="83" fillId="0" borderId="6" xfId="0" applyFont="1" applyBorder="1" applyAlignment="1">
      <alignment horizontal="center" vertical="center" wrapText="1"/>
    </xf>
    <xf numFmtId="0" fontId="82" fillId="0" borderId="56" xfId="0" applyFont="1" applyBorder="1" applyAlignment="1">
      <alignment horizontal="left" vertical="center" wrapText="1"/>
    </xf>
    <xf numFmtId="0" fontId="83" fillId="0" borderId="35" xfId="0" applyFont="1" applyBorder="1" applyAlignment="1">
      <alignment vertical="center" wrapText="1"/>
    </xf>
    <xf numFmtId="0" fontId="83" fillId="0" borderId="56" xfId="0" applyFont="1" applyBorder="1" applyAlignment="1">
      <alignment vertical="center" wrapText="1"/>
    </xf>
    <xf numFmtId="9" fontId="82" fillId="0" borderId="56" xfId="0" applyNumberFormat="1" applyFont="1" applyBorder="1" applyAlignment="1">
      <alignment horizontal="center" vertical="center" wrapText="1"/>
    </xf>
    <xf numFmtId="0" fontId="85" fillId="0" borderId="9" xfId="0" applyFont="1" applyBorder="1" applyAlignment="1">
      <alignment horizontal="left" vertical="center" wrapText="1"/>
    </xf>
    <xf numFmtId="9" fontId="85" fillId="0" borderId="53" xfId="0" applyNumberFormat="1" applyFont="1" applyBorder="1" applyAlignment="1">
      <alignment horizontal="center" vertical="center" wrapText="1"/>
    </xf>
    <xf numFmtId="0" fontId="85" fillId="0" borderId="7" xfId="0" applyFont="1" applyBorder="1" applyAlignment="1">
      <alignment horizontal="left" vertical="center" wrapText="1"/>
    </xf>
    <xf numFmtId="0" fontId="85" fillId="0" borderId="6" xfId="0" applyFont="1" applyBorder="1" applyAlignment="1">
      <alignment horizontal="left" vertical="center" wrapText="1"/>
    </xf>
    <xf numFmtId="9" fontId="85" fillId="0" borderId="3" xfId="0" applyNumberFormat="1" applyFont="1" applyBorder="1" applyAlignment="1">
      <alignment horizontal="center" vertical="center" wrapText="1"/>
    </xf>
    <xf numFmtId="0" fontId="85" fillId="0" borderId="2" xfId="0" applyFont="1" applyBorder="1" applyAlignment="1">
      <alignment horizontal="left" vertical="center" wrapText="1"/>
    </xf>
    <xf numFmtId="9" fontId="85" fillId="0" borderId="55" xfId="0" applyNumberFormat="1" applyFont="1" applyBorder="1" applyAlignment="1">
      <alignment horizontal="center" vertical="center" wrapText="1"/>
    </xf>
    <xf numFmtId="0" fontId="84" fillId="0" borderId="34" xfId="0" applyFont="1" applyBorder="1" applyAlignment="1">
      <alignment horizontal="center" vertical="center" wrapText="1"/>
    </xf>
    <xf numFmtId="0" fontId="85" fillId="0" borderId="35" xfId="0" applyFont="1" applyBorder="1" applyAlignment="1">
      <alignment horizontal="center" vertical="center" wrapText="1"/>
    </xf>
    <xf numFmtId="0" fontId="85" fillId="0" borderId="35" xfId="0" applyFont="1" applyBorder="1" applyAlignment="1">
      <alignment horizontal="left" vertical="center" wrapText="1"/>
    </xf>
    <xf numFmtId="0" fontId="84" fillId="0" borderId="35" xfId="0" applyFont="1" applyBorder="1" applyAlignment="1">
      <alignment horizontal="left" vertical="center" wrapText="1"/>
    </xf>
    <xf numFmtId="0" fontId="85" fillId="0" borderId="35" xfId="0" applyFont="1" applyBorder="1" applyAlignment="1">
      <alignment vertical="center" wrapText="1"/>
    </xf>
    <xf numFmtId="9" fontId="84" fillId="0" borderId="35" xfId="0" applyNumberFormat="1" applyFont="1" applyBorder="1" applyAlignment="1">
      <alignment horizontal="center" vertical="center" wrapText="1"/>
    </xf>
    <xf numFmtId="0" fontId="87" fillId="0" borderId="9" xfId="0" applyFont="1" applyBorder="1" applyAlignment="1">
      <alignment vertical="center" wrapText="1"/>
    </xf>
    <xf numFmtId="9" fontId="88" fillId="0" borderId="9" xfId="0" applyNumberFormat="1" applyFont="1" applyBorder="1" applyAlignment="1">
      <alignment horizontal="center" vertical="center" wrapText="1"/>
    </xf>
    <xf numFmtId="0" fontId="87" fillId="0" borderId="7" xfId="0" applyFont="1" applyBorder="1" applyAlignment="1">
      <alignment horizontal="left" vertical="center" wrapText="1"/>
    </xf>
    <xf numFmtId="9" fontId="88" fillId="0" borderId="7" xfId="0" applyNumberFormat="1" applyFont="1" applyBorder="1" applyAlignment="1">
      <alignment horizontal="center" vertical="center" wrapText="1"/>
    </xf>
    <xf numFmtId="0" fontId="87" fillId="0" borderId="7" xfId="0" applyFont="1" applyBorder="1" applyAlignment="1">
      <alignment vertical="center" wrapText="1"/>
    </xf>
    <xf numFmtId="0" fontId="89" fillId="0" borderId="2" xfId="0" applyFont="1" applyBorder="1" applyAlignment="1">
      <alignment vertical="center" wrapText="1"/>
    </xf>
    <xf numFmtId="0" fontId="89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vertical="center"/>
    </xf>
    <xf numFmtId="9" fontId="88" fillId="0" borderId="2" xfId="0" applyNumberFormat="1" applyFont="1" applyBorder="1" applyAlignment="1">
      <alignment horizontal="center" vertical="center"/>
    </xf>
    <xf numFmtId="0" fontId="17" fillId="0" borderId="34" xfId="0" applyFont="1" applyBorder="1" applyAlignment="1">
      <alignment vertical="center"/>
    </xf>
    <xf numFmtId="0" fontId="17" fillId="0" borderId="35" xfId="0" applyFont="1" applyBorder="1" applyAlignment="1">
      <alignment horizontal="center" vertical="center"/>
    </xf>
    <xf numFmtId="0" fontId="17" fillId="0" borderId="35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27" fillId="0" borderId="35" xfId="0" applyFont="1" applyBorder="1" applyAlignment="1">
      <alignment vertical="center"/>
    </xf>
    <xf numFmtId="9" fontId="31" fillId="0" borderId="35" xfId="0" applyNumberFormat="1" applyFont="1" applyBorder="1" applyAlignment="1">
      <alignment horizontal="center" vertical="center"/>
    </xf>
    <xf numFmtId="0" fontId="83" fillId="0" borderId="0" xfId="0" applyFont="1" applyAlignment="1">
      <alignment horizontal="left" vertical="center" wrapText="1"/>
    </xf>
    <xf numFmtId="0" fontId="83" fillId="0" borderId="59" xfId="0" applyFont="1" applyBorder="1" applyAlignment="1">
      <alignment horizontal="left" vertical="center" wrapText="1"/>
    </xf>
    <xf numFmtId="0" fontId="83" fillId="0" borderId="40" xfId="0" applyFont="1" applyBorder="1" applyAlignment="1">
      <alignment horizontal="left" vertical="center" wrapText="1"/>
    </xf>
    <xf numFmtId="1" fontId="2" fillId="0" borderId="62" xfId="0" applyNumberFormat="1" applyFont="1" applyBorder="1" applyAlignment="1" applyProtection="1">
      <alignment horizontal="center" vertical="center"/>
      <protection locked="0"/>
    </xf>
    <xf numFmtId="1" fontId="65" fillId="16" borderId="62" xfId="0" applyNumberFormat="1" applyFont="1" applyFill="1" applyBorder="1" applyAlignment="1" applyProtection="1">
      <alignment horizontal="center" vertical="center"/>
      <protection locked="0"/>
    </xf>
    <xf numFmtId="9" fontId="2" fillId="0" borderId="63" xfId="1" applyFont="1" applyFill="1" applyBorder="1" applyAlignment="1" applyProtection="1">
      <alignment horizontal="center" vertical="center" wrapText="1"/>
    </xf>
    <xf numFmtId="10" fontId="2" fillId="0" borderId="5" xfId="1" applyNumberFormat="1" applyFont="1" applyFill="1" applyBorder="1" applyAlignment="1" applyProtection="1">
      <alignment vertical="center" wrapText="1"/>
    </xf>
    <xf numFmtId="10" fontId="2" fillId="0" borderId="7" xfId="1" applyNumberFormat="1" applyFont="1" applyFill="1" applyBorder="1" applyAlignment="1" applyProtection="1">
      <alignment vertical="center" wrapText="1"/>
    </xf>
    <xf numFmtId="9" fontId="65" fillId="4" borderId="76" xfId="0" applyNumberFormat="1" applyFont="1" applyFill="1" applyBorder="1" applyAlignment="1" applyProtection="1">
      <alignment horizontal="center" vertical="center" wrapText="1"/>
      <protection locked="0"/>
    </xf>
    <xf numFmtId="10" fontId="65" fillId="9" borderId="17" xfId="0" applyNumberFormat="1" applyFont="1" applyFill="1" applyBorder="1" applyAlignment="1" applyProtection="1">
      <alignment horizontal="center" vertical="center" wrapText="1"/>
      <protection locked="0"/>
    </xf>
    <xf numFmtId="10" fontId="65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75" fillId="0" borderId="71" xfId="0" applyFont="1" applyBorder="1" applyAlignment="1">
      <alignment vertical="center" wrapText="1"/>
    </xf>
    <xf numFmtId="9" fontId="79" fillId="0" borderId="35" xfId="0" applyNumberFormat="1" applyFont="1" applyBorder="1" applyAlignment="1" applyProtection="1">
      <alignment horizontal="center" vertical="center"/>
      <protection locked="0"/>
    </xf>
    <xf numFmtId="1" fontId="77" fillId="0" borderId="35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1" fontId="2" fillId="16" borderId="35" xfId="0" applyNumberFormat="1" applyFont="1" applyFill="1" applyBorder="1" applyAlignment="1">
      <alignment horizontal="center" vertical="center"/>
    </xf>
    <xf numFmtId="9" fontId="2" fillId="0" borderId="69" xfId="1" applyFont="1" applyBorder="1" applyAlignment="1">
      <alignment horizontal="center" vertical="center"/>
    </xf>
    <xf numFmtId="10" fontId="2" fillId="8" borderId="57" xfId="1" applyNumberFormat="1" applyFont="1" applyFill="1" applyBorder="1" applyAlignment="1" applyProtection="1">
      <alignment horizontal="center" vertical="center" wrapText="1"/>
    </xf>
    <xf numFmtId="10" fontId="2" fillId="8" borderId="35" xfId="1" applyNumberFormat="1" applyFont="1" applyFill="1" applyBorder="1" applyAlignment="1" applyProtection="1">
      <alignment horizontal="center" vertical="center" wrapText="1"/>
    </xf>
    <xf numFmtId="0" fontId="75" fillId="0" borderId="7" xfId="0" applyFont="1" applyBorder="1" applyAlignment="1">
      <alignment vertical="center" wrapText="1"/>
    </xf>
    <xf numFmtId="0" fontId="79" fillId="0" borderId="9" xfId="0" applyFont="1" applyBorder="1" applyAlignment="1">
      <alignment vertical="center" wrapText="1"/>
    </xf>
    <xf numFmtId="9" fontId="79" fillId="0" borderId="9" xfId="0" applyNumberFormat="1" applyFont="1" applyBorder="1" applyAlignment="1" applyProtection="1">
      <alignment horizontal="center" vertical="center"/>
      <protection locked="0"/>
    </xf>
    <xf numFmtId="1" fontId="77" fillId="0" borderId="9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16" borderId="9" xfId="0" applyNumberFormat="1" applyFont="1" applyFill="1" applyBorder="1" applyAlignment="1">
      <alignment horizontal="center" vertical="center"/>
    </xf>
    <xf numFmtId="9" fontId="2" fillId="0" borderId="81" xfId="1" applyFont="1" applyBorder="1" applyAlignment="1">
      <alignment horizontal="center" vertical="center"/>
    </xf>
    <xf numFmtId="10" fontId="2" fillId="8" borderId="52" xfId="1" applyNumberFormat="1" applyFont="1" applyFill="1" applyBorder="1" applyAlignment="1" applyProtection="1">
      <alignment horizontal="center" vertical="center" wrapText="1"/>
    </xf>
    <xf numFmtId="10" fontId="2" fillId="8" borderId="9" xfId="1" applyNumberFormat="1" applyFont="1" applyFill="1" applyBorder="1" applyAlignment="1" applyProtection="1">
      <alignment horizontal="center" vertical="center" wrapText="1"/>
    </xf>
    <xf numFmtId="0" fontId="75" fillId="3" borderId="7" xfId="0" applyFont="1" applyFill="1" applyBorder="1" applyAlignment="1">
      <alignment vertical="center" wrapText="1"/>
    </xf>
    <xf numFmtId="0" fontId="79" fillId="0" borderId="7" xfId="0" applyFont="1" applyBorder="1" applyAlignment="1">
      <alignment vertical="center" wrapText="1"/>
    </xf>
    <xf numFmtId="9" fontId="2" fillId="0" borderId="65" xfId="1" applyFont="1" applyBorder="1" applyAlignment="1">
      <alignment horizontal="center" vertical="center"/>
    </xf>
    <xf numFmtId="10" fontId="2" fillId="8" borderId="5" xfId="1" applyNumberFormat="1" applyFont="1" applyFill="1" applyBorder="1" applyAlignment="1" applyProtection="1">
      <alignment horizontal="center" vertical="center" wrapText="1"/>
    </xf>
    <xf numFmtId="0" fontId="75" fillId="0" borderId="83" xfId="0" applyFont="1" applyBorder="1" applyAlignment="1">
      <alignment vertical="center" wrapText="1"/>
    </xf>
    <xf numFmtId="0" fontId="79" fillId="0" borderId="83" xfId="0" applyFont="1" applyBorder="1" applyAlignment="1">
      <alignment vertical="center" wrapText="1"/>
    </xf>
    <xf numFmtId="1" fontId="2" fillId="16" borderId="83" xfId="0" applyNumberFormat="1" applyFont="1" applyFill="1" applyBorder="1" applyAlignment="1">
      <alignment horizontal="center" vertical="center"/>
    </xf>
    <xf numFmtId="9" fontId="2" fillId="0" borderId="84" xfId="1" applyFont="1" applyBorder="1" applyAlignment="1">
      <alignment horizontal="center" vertical="center"/>
    </xf>
    <xf numFmtId="0" fontId="75" fillId="0" borderId="9" xfId="0" applyFont="1" applyBorder="1" applyAlignment="1">
      <alignment vertical="center" wrapText="1"/>
    </xf>
    <xf numFmtId="0" fontId="75" fillId="0" borderId="72" xfId="0" applyFont="1" applyBorder="1" applyAlignment="1">
      <alignment vertical="center" wrapText="1"/>
    </xf>
    <xf numFmtId="0" fontId="79" fillId="0" borderId="62" xfId="0" applyFont="1" applyBorder="1" applyAlignment="1">
      <alignment vertical="center" wrapText="1"/>
    </xf>
    <xf numFmtId="9" fontId="2" fillId="0" borderId="63" xfId="1" applyFont="1" applyBorder="1" applyAlignment="1">
      <alignment horizontal="center" vertical="center"/>
    </xf>
    <xf numFmtId="0" fontId="79" fillId="0" borderId="6" xfId="0" applyFont="1" applyBorder="1" applyAlignment="1">
      <alignment vertical="center" wrapText="1"/>
    </xf>
    <xf numFmtId="1" fontId="2" fillId="16" borderId="6" xfId="0" applyNumberFormat="1" applyFont="1" applyFill="1" applyBorder="1" applyAlignment="1">
      <alignment horizontal="center" vertical="center"/>
    </xf>
    <xf numFmtId="9" fontId="2" fillId="0" borderId="88" xfId="1" applyFont="1" applyBorder="1" applyAlignment="1">
      <alignment horizontal="center" vertical="center"/>
    </xf>
    <xf numFmtId="10" fontId="2" fillId="8" borderId="17" xfId="1" applyNumberFormat="1" applyFont="1" applyFill="1" applyBorder="1" applyAlignment="1" applyProtection="1">
      <alignment horizontal="center" vertical="center" wrapText="1"/>
    </xf>
    <xf numFmtId="10" fontId="2" fillId="8" borderId="6" xfId="1" applyNumberFormat="1" applyFont="1" applyFill="1" applyBorder="1" applyAlignment="1" applyProtection="1">
      <alignment horizontal="center" vertical="center" wrapText="1"/>
    </xf>
    <xf numFmtId="0" fontId="79" fillId="0" borderId="89" xfId="0" applyFont="1" applyBorder="1" applyAlignment="1">
      <alignment vertical="center" wrapText="1"/>
    </xf>
    <xf numFmtId="9" fontId="65" fillId="4" borderId="48" xfId="0" applyNumberFormat="1" applyFont="1" applyFill="1" applyBorder="1" applyAlignment="1" applyProtection="1">
      <alignment horizontal="center" vertical="center" wrapText="1"/>
      <protection locked="0"/>
    </xf>
    <xf numFmtId="10" fontId="65" fillId="8" borderId="91" xfId="0" applyNumberFormat="1" applyFont="1" applyFill="1" applyBorder="1" applyAlignment="1" applyProtection="1">
      <alignment horizontal="center" vertical="center" wrapText="1"/>
      <protection locked="0"/>
    </xf>
    <xf numFmtId="10" fontId="65" fillId="8" borderId="8" xfId="0" applyNumberFormat="1" applyFont="1" applyFill="1" applyBorder="1" applyAlignment="1" applyProtection="1">
      <alignment horizontal="center" vertical="center" wrapText="1"/>
      <protection locked="0"/>
    </xf>
    <xf numFmtId="0" fontId="75" fillId="0" borderId="48" xfId="0" applyFont="1" applyBorder="1" applyAlignment="1">
      <alignment horizontal="left" vertical="center" wrapText="1"/>
    </xf>
    <xf numFmtId="0" fontId="75" fillId="0" borderId="51" xfId="0" applyFont="1" applyBorder="1" applyAlignment="1">
      <alignment vertical="center" wrapText="1"/>
    </xf>
    <xf numFmtId="1" fontId="65" fillId="16" borderId="35" xfId="0" applyNumberFormat="1" applyFont="1" applyFill="1" applyBorder="1" applyAlignment="1">
      <alignment horizontal="center" vertical="center"/>
    </xf>
    <xf numFmtId="165" fontId="2" fillId="0" borderId="69" xfId="1" applyNumberFormat="1" applyFont="1" applyFill="1" applyBorder="1" applyAlignment="1" applyProtection="1">
      <alignment vertical="center" wrapText="1"/>
    </xf>
    <xf numFmtId="10" fontId="2" fillId="9" borderId="57" xfId="1" applyNumberFormat="1" applyFont="1" applyFill="1" applyBorder="1" applyAlignment="1" applyProtection="1">
      <alignment horizontal="center" vertical="center" wrapText="1"/>
    </xf>
    <xf numFmtId="10" fontId="2" fillId="9" borderId="56" xfId="1" applyNumberFormat="1" applyFont="1" applyFill="1" applyBorder="1" applyAlignment="1" applyProtection="1">
      <alignment horizontal="center" vertical="center" wrapText="1"/>
    </xf>
    <xf numFmtId="0" fontId="75" fillId="0" borderId="93" xfId="0" applyFont="1" applyBorder="1" applyAlignment="1">
      <alignment vertical="center" wrapText="1"/>
    </xf>
    <xf numFmtId="0" fontId="75" fillId="0" borderId="6" xfId="0" applyFont="1" applyBorder="1" applyAlignment="1">
      <alignment vertical="center" wrapText="1"/>
    </xf>
    <xf numFmtId="1" fontId="65" fillId="16" borderId="9" xfId="0" applyNumberFormat="1" applyFont="1" applyFill="1" applyBorder="1" applyAlignment="1">
      <alignment horizontal="center" vertical="center"/>
    </xf>
    <xf numFmtId="165" fontId="2" fillId="0" borderId="81" xfId="1" applyNumberFormat="1" applyFont="1" applyFill="1" applyBorder="1" applyAlignment="1" applyProtection="1">
      <alignment vertical="center" wrapText="1"/>
    </xf>
    <xf numFmtId="10" fontId="2" fillId="9" borderId="52" xfId="1" applyNumberFormat="1" applyFont="1" applyFill="1" applyBorder="1" applyAlignment="1" applyProtection="1">
      <alignment horizontal="center" vertical="center" wrapText="1"/>
    </xf>
    <xf numFmtId="10" fontId="2" fillId="9" borderId="53" xfId="1" applyNumberFormat="1" applyFont="1" applyFill="1" applyBorder="1" applyAlignment="1" applyProtection="1">
      <alignment horizontal="center" vertical="center" wrapText="1"/>
    </xf>
    <xf numFmtId="165" fontId="2" fillId="0" borderId="65" xfId="1" applyNumberFormat="1" applyFont="1" applyFill="1" applyBorder="1" applyAlignment="1" applyProtection="1">
      <alignment vertical="center" wrapText="1"/>
    </xf>
    <xf numFmtId="10" fontId="2" fillId="9" borderId="54" xfId="1" applyNumberFormat="1" applyFont="1" applyFill="1" applyBorder="1" applyAlignment="1" applyProtection="1">
      <alignment horizontal="center" vertical="center" wrapText="1"/>
    </xf>
    <xf numFmtId="10" fontId="2" fillId="9" borderId="7" xfId="1" applyNumberFormat="1" applyFont="1" applyFill="1" applyBorder="1" applyAlignment="1" applyProtection="1">
      <alignment horizontal="center" vertical="center" wrapText="1"/>
    </xf>
    <xf numFmtId="165" fontId="2" fillId="0" borderId="84" xfId="1" applyNumberFormat="1" applyFont="1" applyFill="1" applyBorder="1" applyAlignment="1" applyProtection="1">
      <alignment vertical="center" wrapText="1"/>
    </xf>
    <xf numFmtId="10" fontId="2" fillId="9" borderId="19" xfId="1" applyNumberFormat="1" applyFont="1" applyFill="1" applyBorder="1" applyAlignment="1" applyProtection="1">
      <alignment horizontal="center" vertical="center" wrapText="1"/>
    </xf>
    <xf numFmtId="10" fontId="2" fillId="9" borderId="10" xfId="1" applyNumberFormat="1" applyFont="1" applyFill="1" applyBorder="1" applyAlignment="1" applyProtection="1">
      <alignment horizontal="center" vertical="center" wrapText="1"/>
    </xf>
    <xf numFmtId="0" fontId="75" fillId="0" borderId="11" xfId="0" applyFont="1" applyBorder="1" applyAlignment="1">
      <alignment horizontal="center" vertical="center" wrapText="1"/>
    </xf>
    <xf numFmtId="0" fontId="75" fillId="0" borderId="11" xfId="0" applyFont="1" applyBorder="1" applyAlignment="1">
      <alignment vertical="center" wrapText="1"/>
    </xf>
    <xf numFmtId="10" fontId="65" fillId="4" borderId="68" xfId="0" applyNumberFormat="1" applyFont="1" applyFill="1" applyBorder="1" applyAlignment="1" applyProtection="1">
      <alignment horizontal="center" vertical="center"/>
      <protection locked="0"/>
    </xf>
    <xf numFmtId="10" fontId="65" fillId="9" borderId="96" xfId="0" applyNumberFormat="1" applyFont="1" applyFill="1" applyBorder="1" applyAlignment="1" applyProtection="1">
      <alignment horizontal="center" vertical="center" wrapText="1"/>
      <protection locked="0"/>
    </xf>
    <xf numFmtId="10" fontId="65" fillId="9" borderId="18" xfId="0" applyNumberFormat="1" applyFont="1" applyFill="1" applyBorder="1" applyAlignment="1" applyProtection="1">
      <alignment horizontal="center" vertical="center" wrapText="1"/>
      <protection locked="0"/>
    </xf>
    <xf numFmtId="0" fontId="65" fillId="5" borderId="74" xfId="0" applyFont="1" applyFill="1" applyBorder="1" applyAlignment="1">
      <alignment vertical="center"/>
    </xf>
    <xf numFmtId="9" fontId="65" fillId="5" borderId="11" xfId="0" applyNumberFormat="1" applyFont="1" applyFill="1" applyBorder="1" applyAlignment="1">
      <alignment horizontal="center" vertical="center" wrapText="1"/>
    </xf>
    <xf numFmtId="164" fontId="65" fillId="5" borderId="11" xfId="2" applyNumberFormat="1" applyFont="1" applyFill="1" applyBorder="1" applyAlignment="1" applyProtection="1">
      <alignment horizontal="center" vertical="center" wrapText="1"/>
    </xf>
    <xf numFmtId="0" fontId="65" fillId="5" borderId="11" xfId="0" applyFont="1" applyFill="1" applyBorder="1" applyAlignment="1">
      <alignment horizontal="center" vertical="center" wrapText="1"/>
    </xf>
    <xf numFmtId="10" fontId="65" fillId="5" borderId="11" xfId="0" applyNumberFormat="1" applyFont="1" applyFill="1" applyBorder="1" applyAlignment="1" applyProtection="1">
      <alignment horizontal="center" vertical="center" wrapText="1"/>
      <protection locked="0"/>
    </xf>
    <xf numFmtId="9" fontId="65" fillId="5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20" xfId="0" applyFont="1" applyFill="1" applyBorder="1" applyAlignment="1">
      <alignment horizontal="left" vertical="center" wrapText="1"/>
    </xf>
    <xf numFmtId="1" fontId="73" fillId="0" borderId="7" xfId="0" applyNumberFormat="1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>
      <alignment horizontal="center" vertical="center"/>
    </xf>
    <xf numFmtId="1" fontId="55" fillId="0" borderId="3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  <protection locked="0"/>
    </xf>
    <xf numFmtId="1" fontId="4" fillId="0" borderId="9" xfId="0" applyNumberFormat="1" applyFont="1" applyBorder="1" applyAlignment="1" applyProtection="1">
      <alignment horizontal="center" vertical="center"/>
      <protection locked="0"/>
    </xf>
    <xf numFmtId="0" fontId="58" fillId="0" borderId="7" xfId="0" applyFont="1" applyBorder="1" applyAlignment="1">
      <alignment vertical="center" wrapText="1"/>
    </xf>
    <xf numFmtId="0" fontId="61" fillId="0" borderId="7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9" fontId="19" fillId="0" borderId="2" xfId="0" applyNumberFormat="1" applyFont="1" applyBorder="1" applyAlignment="1">
      <alignment horizontal="center" vertical="center" wrapText="1"/>
    </xf>
    <xf numFmtId="9" fontId="19" fillId="0" borderId="6" xfId="0" applyNumberFormat="1" applyFont="1" applyBorder="1" applyAlignment="1">
      <alignment horizontal="center" vertical="center" wrapText="1"/>
    </xf>
    <xf numFmtId="9" fontId="19" fillId="0" borderId="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9" fontId="36" fillId="0" borderId="2" xfId="1" applyFont="1" applyBorder="1" applyAlignment="1">
      <alignment horizontal="center" vertical="center"/>
    </xf>
    <xf numFmtId="9" fontId="36" fillId="0" borderId="6" xfId="1" applyFont="1" applyBorder="1" applyAlignment="1">
      <alignment horizontal="center" vertical="center"/>
    </xf>
    <xf numFmtId="9" fontId="36" fillId="0" borderId="9" xfId="1" applyFont="1" applyBorder="1" applyAlignment="1">
      <alignment horizontal="center" vertical="center"/>
    </xf>
    <xf numFmtId="9" fontId="43" fillId="4" borderId="7" xfId="0" applyNumberFormat="1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left" vertical="center" wrapText="1"/>
    </xf>
    <xf numFmtId="0" fontId="42" fillId="0" borderId="9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/>
    </xf>
    <xf numFmtId="0" fontId="36" fillId="0" borderId="7" xfId="0" applyFont="1" applyBorder="1" applyAlignment="1">
      <alignment horizontal="left" vertical="center" wrapText="1"/>
    </xf>
    <xf numFmtId="9" fontId="43" fillId="4" borderId="2" xfId="0" applyNumberFormat="1" applyFont="1" applyFill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9" fontId="36" fillId="0" borderId="7" xfId="1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left" vertical="center" wrapText="1"/>
    </xf>
    <xf numFmtId="0" fontId="72" fillId="0" borderId="23" xfId="0" applyFont="1" applyBorder="1" applyAlignment="1">
      <alignment horizontal="left" vertical="center"/>
    </xf>
    <xf numFmtId="0" fontId="72" fillId="0" borderId="24" xfId="0" applyFont="1" applyBorder="1" applyAlignment="1">
      <alignment horizontal="left" vertical="center"/>
    </xf>
    <xf numFmtId="0" fontId="72" fillId="0" borderId="25" xfId="0" applyFont="1" applyBorder="1" applyAlignment="1">
      <alignment horizontal="left" vertical="center"/>
    </xf>
    <xf numFmtId="0" fontId="72" fillId="0" borderId="26" xfId="0" applyFont="1" applyBorder="1" applyAlignment="1">
      <alignment horizontal="left" vertical="center"/>
    </xf>
    <xf numFmtId="0" fontId="72" fillId="0" borderId="27" xfId="0" applyFont="1" applyBorder="1" applyAlignment="1">
      <alignment horizontal="left" vertical="center"/>
    </xf>
    <xf numFmtId="0" fontId="72" fillId="0" borderId="28" xfId="0" applyFont="1" applyBorder="1" applyAlignment="1">
      <alignment horizontal="left" vertical="center"/>
    </xf>
    <xf numFmtId="0" fontId="73" fillId="0" borderId="23" xfId="0" applyFont="1" applyBorder="1" applyAlignment="1">
      <alignment horizontal="left" vertical="center"/>
    </xf>
    <xf numFmtId="0" fontId="73" fillId="0" borderId="24" xfId="0" applyFont="1" applyBorder="1" applyAlignment="1">
      <alignment horizontal="left" vertical="center"/>
    </xf>
    <xf numFmtId="0" fontId="73" fillId="0" borderId="25" xfId="0" applyFont="1" applyBorder="1" applyAlignment="1">
      <alignment horizontal="left" vertical="center"/>
    </xf>
    <xf numFmtId="0" fontId="73" fillId="0" borderId="29" xfId="0" applyFont="1" applyBorder="1" applyAlignment="1">
      <alignment horizontal="left" vertical="center"/>
    </xf>
    <xf numFmtId="0" fontId="73" fillId="0" borderId="0" xfId="0" applyFont="1" applyAlignment="1">
      <alignment horizontal="left" vertical="center"/>
    </xf>
    <xf numFmtId="0" fontId="73" fillId="0" borderId="30" xfId="0" applyFont="1" applyBorder="1" applyAlignment="1">
      <alignment horizontal="left" vertical="center"/>
    </xf>
    <xf numFmtId="0" fontId="73" fillId="0" borderId="26" xfId="0" applyFont="1" applyBorder="1" applyAlignment="1">
      <alignment horizontal="left" vertical="center"/>
    </xf>
    <xf numFmtId="0" fontId="73" fillId="0" borderId="27" xfId="0" applyFont="1" applyBorder="1" applyAlignment="1">
      <alignment horizontal="left" vertical="center"/>
    </xf>
    <xf numFmtId="0" fontId="73" fillId="0" borderId="28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76" fillId="4" borderId="3" xfId="0" applyFont="1" applyFill="1" applyBorder="1" applyAlignment="1">
      <alignment horizontal="center" vertical="center"/>
    </xf>
    <xf numFmtId="0" fontId="76" fillId="4" borderId="4" xfId="0" applyFont="1" applyFill="1" applyBorder="1" applyAlignment="1">
      <alignment horizontal="center" vertical="center"/>
    </xf>
    <xf numFmtId="0" fontId="76" fillId="4" borderId="5" xfId="0" applyFont="1" applyFill="1" applyBorder="1" applyAlignment="1">
      <alignment horizontal="center" vertical="center"/>
    </xf>
    <xf numFmtId="0" fontId="65" fillId="0" borderId="23" xfId="0" applyFont="1" applyBorder="1" applyAlignment="1">
      <alignment horizontal="left" vertical="center"/>
    </xf>
    <xf numFmtId="0" fontId="65" fillId="0" borderId="24" xfId="0" applyFont="1" applyBorder="1" applyAlignment="1">
      <alignment horizontal="left" vertical="center"/>
    </xf>
    <xf numFmtId="0" fontId="65" fillId="0" borderId="25" xfId="0" applyFont="1" applyBorder="1" applyAlignment="1">
      <alignment horizontal="left" vertical="center"/>
    </xf>
    <xf numFmtId="0" fontId="65" fillId="0" borderId="26" xfId="0" applyFont="1" applyBorder="1" applyAlignment="1">
      <alignment horizontal="left" vertical="center"/>
    </xf>
    <xf numFmtId="0" fontId="65" fillId="0" borderId="27" xfId="0" applyFont="1" applyBorder="1" applyAlignment="1">
      <alignment horizontal="left" vertical="center"/>
    </xf>
    <xf numFmtId="0" fontId="65" fillId="0" borderId="28" xfId="0" applyFont="1" applyBorder="1" applyAlignment="1">
      <alignment horizontal="left" vertical="center"/>
    </xf>
    <xf numFmtId="0" fontId="77" fillId="2" borderId="38" xfId="0" applyFont="1" applyFill="1" applyBorder="1" applyAlignment="1">
      <alignment horizontal="center" vertical="center" textRotation="90" wrapText="1"/>
    </xf>
    <xf numFmtId="0" fontId="77" fillId="2" borderId="36" xfId="0" applyFont="1" applyFill="1" applyBorder="1" applyAlignment="1">
      <alignment horizontal="center" vertical="center" textRotation="90" wrapText="1"/>
    </xf>
    <xf numFmtId="0" fontId="77" fillId="2" borderId="39" xfId="0" applyFont="1" applyFill="1" applyBorder="1" applyAlignment="1">
      <alignment horizontal="center" vertical="center" textRotation="90" wrapText="1"/>
    </xf>
    <xf numFmtId="9" fontId="65" fillId="3" borderId="58" xfId="0" applyNumberFormat="1" applyFont="1" applyFill="1" applyBorder="1" applyAlignment="1">
      <alignment horizontal="center" vertical="center" wrapText="1"/>
    </xf>
    <xf numFmtId="9" fontId="65" fillId="3" borderId="17" xfId="0" applyNumberFormat="1" applyFont="1" applyFill="1" applyBorder="1" applyAlignment="1">
      <alignment horizontal="center" vertical="center" wrapText="1"/>
    </xf>
    <xf numFmtId="9" fontId="65" fillId="3" borderId="67" xfId="0" applyNumberFormat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68" xfId="0" applyFont="1" applyBorder="1" applyAlignment="1">
      <alignment horizontal="left" vertical="center" wrapText="1"/>
    </xf>
    <xf numFmtId="10" fontId="65" fillId="4" borderId="56" xfId="0" applyNumberFormat="1" applyFont="1" applyFill="1" applyBorder="1" applyAlignment="1" applyProtection="1">
      <alignment horizontal="center" vertical="center"/>
      <protection locked="0"/>
    </xf>
    <xf numFmtId="10" fontId="65" fillId="4" borderId="50" xfId="0" applyNumberFormat="1" applyFont="1" applyFill="1" applyBorder="1" applyAlignment="1" applyProtection="1">
      <alignment horizontal="center" vertical="center"/>
      <protection locked="0"/>
    </xf>
    <xf numFmtId="10" fontId="65" fillId="4" borderId="57" xfId="0" applyNumberFormat="1" applyFont="1" applyFill="1" applyBorder="1" applyAlignment="1" applyProtection="1">
      <alignment horizontal="center" vertical="center"/>
      <protection locked="0"/>
    </xf>
    <xf numFmtId="9" fontId="65" fillId="3" borderId="53" xfId="0" applyNumberFormat="1" applyFont="1" applyFill="1" applyBorder="1" applyAlignment="1">
      <alignment horizontal="center" vertical="center" wrapText="1"/>
    </xf>
    <xf numFmtId="9" fontId="65" fillId="3" borderId="3" xfId="0" applyNumberFormat="1" applyFont="1" applyFill="1" applyBorder="1" applyAlignment="1">
      <alignment horizontal="center" vertical="center" wrapText="1"/>
    </xf>
    <xf numFmtId="0" fontId="75" fillId="0" borderId="78" xfId="0" applyFont="1" applyBorder="1" applyAlignment="1">
      <alignment horizontal="left" vertical="center" wrapText="1"/>
    </xf>
    <xf numFmtId="0" fontId="75" fillId="0" borderId="90" xfId="0" applyFont="1" applyBorder="1" applyAlignment="1">
      <alignment horizontal="left" vertical="center" wrapText="1"/>
    </xf>
    <xf numFmtId="0" fontId="75" fillId="0" borderId="70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 wrapText="1"/>
    </xf>
    <xf numFmtId="0" fontId="75" fillId="0" borderId="73" xfId="0" applyFont="1" applyBorder="1" applyAlignment="1">
      <alignment horizontal="left" vertical="center" wrapText="1"/>
    </xf>
    <xf numFmtId="0" fontId="75" fillId="0" borderId="38" xfId="0" applyFont="1" applyBorder="1" applyAlignment="1">
      <alignment horizontal="left" vertical="center" wrapText="1"/>
    </xf>
    <xf numFmtId="0" fontId="75" fillId="0" borderId="36" xfId="0" applyFont="1" applyBorder="1" applyAlignment="1">
      <alignment horizontal="left" vertical="center" wrapText="1"/>
    </xf>
    <xf numFmtId="0" fontId="75" fillId="0" borderId="39" xfId="0" applyFont="1" applyBorder="1" applyAlignment="1">
      <alignment horizontal="left" vertical="center" wrapText="1"/>
    </xf>
    <xf numFmtId="0" fontId="2" fillId="0" borderId="70" xfId="0" applyFont="1" applyBorder="1" applyAlignment="1">
      <alignment horizontal="left" vertical="center" wrapText="1"/>
    </xf>
    <xf numFmtId="0" fontId="2" fillId="0" borderId="75" xfId="0" applyFont="1" applyBorder="1" applyAlignment="1">
      <alignment horizontal="left" vertical="center" wrapText="1"/>
    </xf>
    <xf numFmtId="0" fontId="2" fillId="0" borderId="73" xfId="0" applyFont="1" applyBorder="1" applyAlignment="1">
      <alignment horizontal="left" vertical="center" wrapText="1"/>
    </xf>
    <xf numFmtId="10" fontId="65" fillId="4" borderId="35" xfId="0" applyNumberFormat="1" applyFont="1" applyFill="1" applyBorder="1" applyAlignment="1" applyProtection="1">
      <alignment horizontal="center" vertical="center"/>
      <protection locked="0"/>
    </xf>
    <xf numFmtId="10" fontId="65" fillId="4" borderId="68" xfId="0" applyNumberFormat="1" applyFont="1" applyFill="1" applyBorder="1" applyAlignment="1" applyProtection="1">
      <alignment horizontal="center" vertical="center"/>
      <protection locked="0"/>
    </xf>
    <xf numFmtId="10" fontId="65" fillId="4" borderId="94" xfId="0" applyNumberFormat="1" applyFont="1" applyFill="1" applyBorder="1" applyAlignment="1" applyProtection="1">
      <alignment horizontal="center" vertical="center"/>
      <protection locked="0"/>
    </xf>
    <xf numFmtId="10" fontId="65" fillId="4" borderId="67" xfId="0" applyNumberFormat="1" applyFont="1" applyFill="1" applyBorder="1" applyAlignment="1" applyProtection="1">
      <alignment horizontal="center" vertical="center"/>
      <protection locked="0"/>
    </xf>
    <xf numFmtId="0" fontId="65" fillId="0" borderId="23" xfId="0" applyFont="1" applyBorder="1" applyAlignment="1">
      <alignment horizontal="left" vertical="center" wrapText="1"/>
    </xf>
    <xf numFmtId="0" fontId="65" fillId="0" borderId="24" xfId="0" applyFont="1" applyBorder="1" applyAlignment="1">
      <alignment horizontal="left" vertical="center" wrapText="1"/>
    </xf>
    <xf numFmtId="0" fontId="65" fillId="0" borderId="25" xfId="0" applyFont="1" applyBorder="1" applyAlignment="1">
      <alignment horizontal="left" vertical="center" wrapText="1"/>
    </xf>
    <xf numFmtId="0" fontId="65" fillId="0" borderId="26" xfId="0" applyFont="1" applyBorder="1" applyAlignment="1">
      <alignment horizontal="left" vertical="center" wrapText="1"/>
    </xf>
    <xf numFmtId="0" fontId="65" fillId="0" borderId="27" xfId="0" applyFont="1" applyBorder="1" applyAlignment="1">
      <alignment horizontal="left" vertical="center" wrapText="1"/>
    </xf>
    <xf numFmtId="0" fontId="65" fillId="0" borderId="28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77" fillId="2" borderId="77" xfId="0" applyFont="1" applyFill="1" applyBorder="1" applyAlignment="1">
      <alignment horizontal="center" vertical="center" textRotation="90" wrapText="1"/>
    </xf>
    <xf numFmtId="0" fontId="77" fillId="2" borderId="3" xfId="0" applyFont="1" applyFill="1" applyBorder="1" applyAlignment="1">
      <alignment horizontal="center" vertical="center" textRotation="90" wrapText="1"/>
    </xf>
    <xf numFmtId="0" fontId="77" fillId="2" borderId="55" xfId="0" applyFont="1" applyFill="1" applyBorder="1" applyAlignment="1">
      <alignment horizontal="center" vertical="center" textRotation="90" wrapText="1"/>
    </xf>
    <xf numFmtId="0" fontId="77" fillId="2" borderId="89" xfId="0" applyFont="1" applyFill="1" applyBorder="1" applyAlignment="1">
      <alignment horizontal="center" vertical="center" textRotation="90" wrapText="1"/>
    </xf>
    <xf numFmtId="9" fontId="65" fillId="3" borderId="78" xfId="0" applyNumberFormat="1" applyFont="1" applyFill="1" applyBorder="1" applyAlignment="1">
      <alignment horizontal="center" vertical="center" wrapText="1"/>
    </xf>
    <xf numFmtId="9" fontId="65" fillId="3" borderId="80" xfId="0" applyNumberFormat="1" applyFont="1" applyFill="1" applyBorder="1" applyAlignment="1">
      <alignment horizontal="center" vertical="center" wrapText="1"/>
    </xf>
    <xf numFmtId="9" fontId="65" fillId="3" borderId="86" xfId="0" applyNumberFormat="1" applyFont="1" applyFill="1" applyBorder="1" applyAlignment="1">
      <alignment horizontal="center" vertical="center" wrapText="1"/>
    </xf>
    <xf numFmtId="9" fontId="65" fillId="3" borderId="90" xfId="0" applyNumberFormat="1" applyFont="1" applyFill="1" applyBorder="1" applyAlignment="1">
      <alignment horizontal="center" vertical="center" wrapText="1"/>
    </xf>
    <xf numFmtId="0" fontId="75" fillId="3" borderId="71" xfId="0" applyFont="1" applyFill="1" applyBorder="1" applyAlignment="1">
      <alignment horizontal="left" vertical="center" wrapText="1"/>
    </xf>
    <xf numFmtId="0" fontId="75" fillId="3" borderId="87" xfId="0" applyFont="1" applyFill="1" applyBorder="1" applyAlignment="1">
      <alignment horizontal="left" vertical="center" wrapText="1"/>
    </xf>
    <xf numFmtId="0" fontId="75" fillId="3" borderId="74" xfId="0" applyFont="1" applyFill="1" applyBorder="1" applyAlignment="1">
      <alignment horizontal="left" vertical="center" wrapText="1"/>
    </xf>
    <xf numFmtId="0" fontId="77" fillId="2" borderId="92" xfId="0" applyFont="1" applyFill="1" applyBorder="1" applyAlignment="1">
      <alignment horizontal="center" vertical="center" textRotation="90" wrapText="1"/>
    </xf>
    <xf numFmtId="0" fontId="77" fillId="2" borderId="31" xfId="0" applyFont="1" applyFill="1" applyBorder="1" applyAlignment="1">
      <alignment horizontal="center" vertical="center" textRotation="90" wrapText="1"/>
    </xf>
    <xf numFmtId="0" fontId="77" fillId="2" borderId="95" xfId="0" applyFont="1" applyFill="1" applyBorder="1" applyAlignment="1">
      <alignment horizontal="center" vertical="center" textRotation="90" wrapText="1"/>
    </xf>
    <xf numFmtId="9" fontId="65" fillId="3" borderId="77" xfId="0" applyNumberFormat="1" applyFont="1" applyFill="1" applyBorder="1" applyAlignment="1">
      <alignment horizontal="center" vertical="center" wrapText="1"/>
    </xf>
    <xf numFmtId="9" fontId="65" fillId="3" borderId="83" xfId="0" applyNumberFormat="1" applyFont="1" applyFill="1" applyBorder="1" applyAlignment="1">
      <alignment horizontal="center" vertical="center" wrapText="1"/>
    </xf>
    <xf numFmtId="0" fontId="75" fillId="0" borderId="71" xfId="0" applyFont="1" applyBorder="1" applyAlignment="1">
      <alignment horizontal="left" vertical="center" wrapText="1"/>
    </xf>
    <xf numFmtId="0" fontId="75" fillId="0" borderId="87" xfId="0" applyFont="1" applyBorder="1" applyAlignment="1">
      <alignment horizontal="left" vertical="center" wrapText="1"/>
    </xf>
    <xf numFmtId="0" fontId="75" fillId="0" borderId="74" xfId="0" applyFont="1" applyBorder="1" applyAlignment="1">
      <alignment horizontal="left" vertical="center" wrapText="1"/>
    </xf>
    <xf numFmtId="0" fontId="79" fillId="0" borderId="72" xfId="0" applyFont="1" applyBorder="1" applyAlignment="1">
      <alignment horizontal="center" vertical="center" wrapText="1"/>
    </xf>
    <xf numFmtId="0" fontId="79" fillId="0" borderId="11" xfId="0" applyFont="1" applyBorder="1" applyAlignment="1">
      <alignment horizontal="center" vertical="center" wrapText="1"/>
    </xf>
    <xf numFmtId="0" fontId="77" fillId="2" borderId="71" xfId="0" applyFont="1" applyFill="1" applyBorder="1" applyAlignment="1">
      <alignment horizontal="center" vertical="center" textRotation="90" wrapText="1"/>
    </xf>
    <xf numFmtId="0" fontId="77" fillId="2" borderId="74" xfId="0" applyFont="1" applyFill="1" applyBorder="1" applyAlignment="1">
      <alignment horizontal="center" vertical="center" textRotation="90" wrapText="1"/>
    </xf>
    <xf numFmtId="9" fontId="65" fillId="3" borderId="59" xfId="0" applyNumberFormat="1" applyFont="1" applyFill="1" applyBorder="1" applyAlignment="1">
      <alignment horizontal="center" vertical="center" wrapText="1"/>
    </xf>
    <xf numFmtId="9" fontId="65" fillId="3" borderId="68" xfId="0" applyNumberFormat="1" applyFont="1" applyFill="1" applyBorder="1" applyAlignment="1">
      <alignment horizontal="center" vertical="center" wrapText="1"/>
    </xf>
    <xf numFmtId="0" fontId="75" fillId="0" borderId="7" xfId="0" applyFont="1" applyBorder="1" applyAlignment="1">
      <alignment horizontal="left" vertical="center" wrapText="1"/>
    </xf>
    <xf numFmtId="0" fontId="75" fillId="0" borderId="58" xfId="0" applyFont="1" applyBorder="1" applyAlignment="1">
      <alignment horizontal="left" vertical="center" wrapText="1"/>
    </xf>
    <xf numFmtId="0" fontId="75" fillId="0" borderId="67" xfId="0" applyFont="1" applyBorder="1" applyAlignment="1">
      <alignment horizontal="left" vertical="center" wrapText="1"/>
    </xf>
    <xf numFmtId="0" fontId="75" fillId="0" borderId="72" xfId="0" applyFont="1" applyBorder="1" applyAlignment="1">
      <alignment horizontal="left" vertical="center" wrapText="1"/>
    </xf>
    <xf numFmtId="0" fontId="75" fillId="0" borderId="11" xfId="0" applyFont="1" applyBorder="1" applyAlignment="1">
      <alignment horizontal="left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7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9" fontId="86" fillId="0" borderId="6" xfId="0" applyNumberFormat="1" applyFont="1" applyBorder="1" applyAlignment="1">
      <alignment horizontal="center" vertical="center" wrapText="1"/>
    </xf>
    <xf numFmtId="0" fontId="45" fillId="0" borderId="71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79" xfId="0" applyFont="1" applyBorder="1" applyAlignment="1">
      <alignment horizontal="center" vertical="center" wrapText="1"/>
    </xf>
    <xf numFmtId="0" fontId="46" fillId="0" borderId="97" xfId="0" applyFont="1" applyBorder="1" applyAlignment="1">
      <alignment horizontal="center" vertical="center" wrapText="1"/>
    </xf>
    <xf numFmtId="0" fontId="46" fillId="0" borderId="88" xfId="0" applyFont="1" applyBorder="1" applyAlignment="1">
      <alignment horizontal="center" vertical="center" wrapText="1"/>
    </xf>
    <xf numFmtId="0" fontId="86" fillId="0" borderId="7" xfId="0" applyFont="1" applyBorder="1" applyAlignment="1">
      <alignment horizontal="left" vertical="center" wrapText="1"/>
    </xf>
    <xf numFmtId="0" fontId="82" fillId="0" borderId="72" xfId="0" applyFont="1" applyBorder="1" applyAlignment="1">
      <alignment horizontal="center" vertical="center" wrapText="1"/>
    </xf>
    <xf numFmtId="9" fontId="83" fillId="0" borderId="72" xfId="0" applyNumberFormat="1" applyFont="1" applyBorder="1" applyAlignment="1">
      <alignment horizontal="center" vertical="center" wrapText="1"/>
    </xf>
    <xf numFmtId="9" fontId="83" fillId="0" borderId="6" xfId="0" applyNumberFormat="1" applyFont="1" applyBorder="1" applyAlignment="1">
      <alignment horizontal="center" vertical="center" wrapText="1"/>
    </xf>
    <xf numFmtId="0" fontId="83" fillId="0" borderId="11" xfId="0" applyFont="1" applyBorder="1" applyAlignment="1">
      <alignment horizontal="center" vertical="center" wrapText="1"/>
    </xf>
    <xf numFmtId="0" fontId="83" fillId="0" borderId="72" xfId="0" applyFont="1" applyBorder="1" applyAlignment="1">
      <alignment horizontal="center" vertical="center" wrapText="1"/>
    </xf>
    <xf numFmtId="0" fontId="83" fillId="0" borderId="59" xfId="0" applyFont="1" applyBorder="1" applyAlignment="1">
      <alignment horizontal="center" vertical="center" wrapText="1"/>
    </xf>
    <xf numFmtId="0" fontId="84" fillId="0" borderId="71" xfId="0" applyFont="1" applyBorder="1" applyAlignment="1">
      <alignment horizontal="center" vertical="center" wrapText="1"/>
    </xf>
    <xf numFmtId="0" fontId="84" fillId="0" borderId="87" xfId="0" applyFont="1" applyBorder="1" applyAlignment="1">
      <alignment horizontal="center" vertical="center" wrapText="1"/>
    </xf>
    <xf numFmtId="9" fontId="85" fillId="0" borderId="72" xfId="0" applyNumberFormat="1" applyFont="1" applyBorder="1" applyAlignment="1">
      <alignment horizontal="center" vertical="center" wrapText="1"/>
    </xf>
    <xf numFmtId="9" fontId="85" fillId="0" borderId="6" xfId="0" applyNumberFormat="1" applyFont="1" applyBorder="1" applyAlignment="1">
      <alignment horizontal="center" vertical="center" wrapText="1"/>
    </xf>
    <xf numFmtId="0" fontId="85" fillId="0" borderId="6" xfId="0" applyFont="1" applyBorder="1" applyAlignment="1">
      <alignment horizontal="center" vertical="center" wrapText="1"/>
    </xf>
    <xf numFmtId="0" fontId="85" fillId="0" borderId="7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9" fillId="2" borderId="32" xfId="0" applyFont="1" applyFill="1" applyBorder="1" applyAlignment="1">
      <alignment horizontal="center" vertical="center" textRotation="90" wrapText="1"/>
    </xf>
    <xf numFmtId="0" fontId="9" fillId="2" borderId="31" xfId="0" applyFont="1" applyFill="1" applyBorder="1" applyAlignment="1">
      <alignment horizontal="center" vertical="center" textRotation="90" wrapText="1"/>
    </xf>
    <xf numFmtId="0" fontId="9" fillId="2" borderId="33" xfId="0" applyFont="1" applyFill="1" applyBorder="1" applyAlignment="1">
      <alignment horizontal="center" vertical="center" textRotation="90" wrapText="1"/>
    </xf>
    <xf numFmtId="9" fontId="7" fillId="3" borderId="8" xfId="0" applyNumberFormat="1" applyFont="1" applyFill="1" applyBorder="1" applyAlignment="1">
      <alignment horizontal="center" vertical="center" wrapText="1"/>
    </xf>
    <xf numFmtId="9" fontId="7" fillId="3" borderId="6" xfId="0" applyNumberFormat="1" applyFont="1" applyFill="1" applyBorder="1" applyAlignment="1">
      <alignment horizontal="center" vertical="center" wrapText="1"/>
    </xf>
    <xf numFmtId="9" fontId="7" fillId="3" borderId="18" xfId="0" applyNumberFormat="1" applyFont="1" applyFill="1" applyBorder="1" applyAlignment="1">
      <alignment horizontal="center" vertical="center" wrapText="1"/>
    </xf>
    <xf numFmtId="0" fontId="60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7" fillId="4" borderId="45" xfId="0" applyNumberFormat="1" applyFont="1" applyFill="1" applyBorder="1" applyAlignment="1" applyProtection="1">
      <alignment horizontal="center" vertical="center"/>
      <protection locked="0"/>
    </xf>
    <xf numFmtId="10" fontId="7" fillId="4" borderId="46" xfId="0" applyNumberFormat="1" applyFont="1" applyFill="1" applyBorder="1" applyAlignment="1" applyProtection="1">
      <alignment horizontal="center" vertical="center"/>
      <protection locked="0"/>
    </xf>
    <xf numFmtId="10" fontId="7" fillId="4" borderId="47" xfId="0" applyNumberFormat="1" applyFont="1" applyFill="1" applyBorder="1" applyAlignment="1" applyProtection="1">
      <alignment horizontal="center" vertical="center"/>
      <protection locked="0"/>
    </xf>
    <xf numFmtId="9" fontId="7" fillId="3" borderId="7" xfId="0" applyNumberFormat="1" applyFont="1" applyFill="1" applyBorder="1" applyAlignment="1">
      <alignment horizontal="center" vertical="center" wrapText="1"/>
    </xf>
    <xf numFmtId="0" fontId="58" fillId="0" borderId="6" xfId="0" applyFont="1" applyBorder="1" applyAlignment="1">
      <alignment horizontal="left" vertical="center" wrapText="1"/>
    </xf>
    <xf numFmtId="0" fontId="5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9" fillId="0" borderId="2" xfId="0" applyFont="1" applyBorder="1" applyAlignment="1">
      <alignment horizontal="left" vertical="center" wrapText="1"/>
    </xf>
    <xf numFmtId="0" fontId="59" fillId="0" borderId="6" xfId="0" applyFont="1" applyBorder="1" applyAlignment="1">
      <alignment horizontal="left" vertical="center" wrapText="1"/>
    </xf>
    <xf numFmtId="0" fontId="59" fillId="0" borderId="9" xfId="0" applyFont="1" applyBorder="1" applyAlignment="1">
      <alignment horizontal="left" vertical="center" wrapText="1"/>
    </xf>
    <xf numFmtId="10" fontId="7" fillId="4" borderId="43" xfId="0" applyNumberFormat="1" applyFont="1" applyFill="1" applyBorder="1" applyAlignment="1" applyProtection="1">
      <alignment horizontal="center" vertical="center"/>
      <protection locked="0"/>
    </xf>
    <xf numFmtId="10" fontId="7" fillId="4" borderId="44" xfId="0" applyNumberFormat="1" applyFont="1" applyFill="1" applyBorder="1" applyAlignment="1" applyProtection="1">
      <alignment horizontal="center" vertical="center"/>
      <protection locked="0"/>
    </xf>
    <xf numFmtId="10" fontId="7" fillId="4" borderId="19" xfId="0" applyNumberFormat="1" applyFont="1" applyFill="1" applyBorder="1" applyAlignment="1" applyProtection="1">
      <alignment horizontal="center" vertical="center"/>
      <protection locked="0"/>
    </xf>
    <xf numFmtId="0" fontId="56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0" fillId="0" borderId="2" xfId="0" applyFont="1" applyBorder="1" applyAlignment="1">
      <alignment horizontal="center" vertical="center" textRotation="90" wrapText="1"/>
    </xf>
    <xf numFmtId="0" fontId="70" fillId="0" borderId="6" xfId="0" applyFont="1" applyBorder="1" applyAlignment="1">
      <alignment horizontal="center" vertical="center" textRotation="90" wrapText="1"/>
    </xf>
    <xf numFmtId="0" fontId="70" fillId="0" borderId="9" xfId="0" applyFont="1" applyBorder="1" applyAlignment="1">
      <alignment horizontal="center" vertical="center" textRotation="90" wrapText="1"/>
    </xf>
    <xf numFmtId="9" fontId="68" fillId="0" borderId="2" xfId="0" applyNumberFormat="1" applyFont="1" applyBorder="1" applyAlignment="1">
      <alignment horizontal="center" vertical="center" wrapText="1"/>
    </xf>
    <xf numFmtId="9" fontId="68" fillId="0" borderId="6" xfId="0" applyNumberFormat="1" applyFont="1" applyBorder="1" applyAlignment="1">
      <alignment horizontal="center" vertical="center" wrapText="1"/>
    </xf>
    <xf numFmtId="9" fontId="68" fillId="0" borderId="9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7" fillId="18" borderId="49" xfId="0" applyFont="1" applyFill="1" applyBorder="1" applyAlignment="1">
      <alignment horizontal="center"/>
    </xf>
    <xf numFmtId="0" fontId="27" fillId="18" borderId="50" xfId="0" applyFont="1" applyFill="1" applyBorder="1" applyAlignment="1">
      <alignment horizontal="center"/>
    </xf>
    <xf numFmtId="0" fontId="27" fillId="18" borderId="51" xfId="0" applyFont="1" applyFill="1" applyBorder="1" applyAlignment="1">
      <alignment horizontal="center"/>
    </xf>
    <xf numFmtId="9" fontId="0" fillId="16" borderId="38" xfId="1" applyFont="1" applyFill="1" applyBorder="1" applyAlignment="1">
      <alignment horizontal="center" vertical="center"/>
    </xf>
    <xf numFmtId="9" fontId="0" fillId="16" borderId="36" xfId="1" applyFont="1" applyFill="1" applyBorder="1" applyAlignment="1">
      <alignment horizontal="center" vertical="center"/>
    </xf>
    <xf numFmtId="9" fontId="0" fillId="16" borderId="39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9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</cellXfs>
  <cellStyles count="4">
    <cellStyle name="Comma" xfId="3" builtinId="3"/>
    <cellStyle name="Comma 4" xfId="2" xr:uid="{00000000-0005-0000-0000-000000000000}"/>
    <cellStyle name="Normal" xfId="0" builtinId="0"/>
    <cellStyle name="Percent" xfId="1" builtinId="5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30223D-202A-44DE-AF13-3A60557039C2}" name="Table2" displayName="Table2" ref="B3:J6" totalsRowShown="0" headerRowDxfId="22" dataDxfId="20" headerRowBorderDxfId="21" tableBorderDxfId="19" totalsRowBorderDxfId="18">
  <tableColumns count="9">
    <tableColumn id="1" xr3:uid="{2BEA70EB-4C44-4B61-856E-675721754EBA}" name="Objectives" dataDxfId="17" totalsRowDxfId="16"/>
    <tableColumn id="2" xr3:uid="{9717636C-8856-48A2-A156-03C745E6B9FD}" name="Orgnizational Objective Weight" dataDxfId="15" totalsRowDxfId="14"/>
    <tableColumn id="3" xr3:uid="{F2B5FB90-FC23-493A-8EFB-A28D0F8043A3}" name="Presales" dataDxfId="13" totalsRowDxfId="12"/>
    <tableColumn id="4" xr3:uid="{E8A62E78-2434-4002-B128-531425139BA3}" name="Technical" dataDxfId="11" totalsRowDxfId="10"/>
    <tableColumn id="5" xr3:uid="{A3806AF2-4F30-4A1A-9A1E-7DD7470D4613}" name="HR" dataDxfId="9" totalsRowDxfId="8"/>
    <tableColumn id="6" xr3:uid="{7FDBACDB-3C80-4401-8A94-F04F26341A13}" name="PMO" dataDxfId="7" totalsRowDxfId="6"/>
    <tableColumn id="7" xr3:uid="{D18E9393-2FB9-4DF7-9629-DC43FB2B041D}" name="SD" dataDxfId="5" totalsRowDxfId="4"/>
    <tableColumn id="8" xr3:uid="{33BAD086-8BA6-44D4-9801-5552A84E2745}" name="Finance" dataDxfId="3" totalsRowDxfId="2"/>
    <tableColumn id="9" xr3:uid="{AF46805E-67E6-4A97-BE37-EC2BE22CCDC4}" name="?Sale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F673-A6CD-442C-9567-3ECBBF0CBB88}">
  <dimension ref="A1:X24"/>
  <sheetViews>
    <sheetView tabSelected="1" workbookViewId="0">
      <selection activeCell="F5" sqref="F5"/>
    </sheetView>
  </sheetViews>
  <sheetFormatPr defaultColWidth="9.109375" defaultRowHeight="30" customHeight="1" x14ac:dyDescent="0.3"/>
  <cols>
    <col min="1" max="1" width="4.44140625" style="114" customWidth="1"/>
    <col min="2" max="2" width="23.6640625" style="114" customWidth="1"/>
    <col min="3" max="3" width="14.21875" style="114" customWidth="1"/>
    <col min="4" max="4" width="65" style="114" customWidth="1"/>
    <col min="5" max="5" width="9.109375" style="114"/>
    <col min="6" max="6" width="14.44140625" style="114" customWidth="1"/>
    <col min="7" max="7" width="8.77734375" style="114" customWidth="1"/>
    <col min="8" max="8" width="9.109375" style="114"/>
    <col min="9" max="24" width="0" style="114" hidden="1" customWidth="1"/>
    <col min="25" max="16384" width="9.109375" style="114"/>
  </cols>
  <sheetData>
    <row r="1" spans="1:24" ht="42" customHeight="1" x14ac:dyDescent="0.35">
      <c r="A1" s="139" t="s">
        <v>0</v>
      </c>
      <c r="B1" s="139" t="s">
        <v>1</v>
      </c>
      <c r="C1" s="140" t="s">
        <v>2</v>
      </c>
      <c r="D1" s="139" t="s">
        <v>3</v>
      </c>
      <c r="E1" s="146" t="s">
        <v>4</v>
      </c>
      <c r="F1" s="139" t="s">
        <v>5</v>
      </c>
      <c r="G1" s="139" t="s">
        <v>6</v>
      </c>
      <c r="H1" s="139" t="s">
        <v>7</v>
      </c>
      <c r="I1" s="112" t="s">
        <v>8</v>
      </c>
      <c r="J1" s="98" t="s">
        <v>9</v>
      </c>
      <c r="K1" s="98" t="s">
        <v>10</v>
      </c>
      <c r="L1" s="98" t="s">
        <v>11</v>
      </c>
      <c r="M1" s="98" t="s">
        <v>12</v>
      </c>
      <c r="N1" s="98" t="s">
        <v>13</v>
      </c>
      <c r="O1" s="98" t="s">
        <v>14</v>
      </c>
      <c r="P1" s="98" t="s">
        <v>15</v>
      </c>
      <c r="Q1" s="98" t="s">
        <v>16</v>
      </c>
      <c r="R1" s="98" t="s">
        <v>17</v>
      </c>
      <c r="S1" s="98" t="s">
        <v>18</v>
      </c>
      <c r="T1" s="98" t="s">
        <v>19</v>
      </c>
      <c r="U1" s="98" t="s">
        <v>20</v>
      </c>
      <c r="V1" s="98" t="s">
        <v>21</v>
      </c>
      <c r="W1" s="113"/>
      <c r="X1" s="113"/>
    </row>
    <row r="2" spans="1:24" ht="30" hidden="1" customHeight="1" x14ac:dyDescent="0.35">
      <c r="A2" s="115"/>
      <c r="B2" s="115"/>
      <c r="C2" s="115"/>
      <c r="D2" s="116" t="s">
        <v>22</v>
      </c>
      <c r="E2" s="117"/>
      <c r="F2" s="118" t="s">
        <v>23</v>
      </c>
      <c r="G2" s="99" t="s">
        <v>24</v>
      </c>
      <c r="H2" s="99" t="s">
        <v>25</v>
      </c>
      <c r="I2" s="119">
        <v>0.81</v>
      </c>
      <c r="J2" s="100">
        <v>1</v>
      </c>
      <c r="K2" s="102"/>
      <c r="L2" s="102"/>
      <c r="M2" s="103"/>
      <c r="N2" s="102"/>
      <c r="O2" s="104">
        <v>0.68</v>
      </c>
      <c r="P2" s="100">
        <v>0.72</v>
      </c>
      <c r="Q2" s="100">
        <v>0.84</v>
      </c>
      <c r="R2" s="100">
        <v>0.63</v>
      </c>
      <c r="S2" s="102"/>
      <c r="T2" s="100">
        <v>0.82</v>
      </c>
      <c r="U2" s="100">
        <v>1</v>
      </c>
      <c r="V2" s="102"/>
      <c r="W2" s="105" t="s">
        <v>26</v>
      </c>
      <c r="X2" s="101"/>
    </row>
    <row r="3" spans="1:24" ht="30" customHeight="1" x14ac:dyDescent="0.35">
      <c r="A3" s="97"/>
      <c r="B3" s="97"/>
      <c r="C3" s="97"/>
      <c r="D3" s="99"/>
      <c r="E3" s="117"/>
      <c r="F3" s="97"/>
      <c r="G3" s="99"/>
      <c r="H3" s="99"/>
      <c r="I3" s="120"/>
      <c r="J3" s="106">
        <v>0.23</v>
      </c>
      <c r="K3" s="106">
        <v>0.28000000000000003</v>
      </c>
      <c r="L3" s="106">
        <v>0.28000000000000003</v>
      </c>
      <c r="M3" s="106">
        <v>0</v>
      </c>
      <c r="N3" s="106">
        <v>0</v>
      </c>
      <c r="O3" s="106">
        <v>0.03</v>
      </c>
      <c r="P3" s="106">
        <v>0.03</v>
      </c>
      <c r="Q3" s="106">
        <v>0.03</v>
      </c>
      <c r="R3" s="106">
        <v>0.03</v>
      </c>
      <c r="S3" s="106">
        <v>0.03</v>
      </c>
      <c r="T3" s="106">
        <v>0.03</v>
      </c>
      <c r="U3" s="106">
        <v>0.02</v>
      </c>
      <c r="V3" s="106">
        <v>0.02</v>
      </c>
      <c r="W3" s="105" t="s">
        <v>27</v>
      </c>
      <c r="X3" s="101"/>
    </row>
    <row r="4" spans="1:24" ht="48" customHeight="1" x14ac:dyDescent="0.35">
      <c r="A4" s="651">
        <v>1</v>
      </c>
      <c r="B4" s="654" t="s">
        <v>28</v>
      </c>
      <c r="C4" s="657">
        <v>0.5</v>
      </c>
      <c r="D4" s="121" t="s">
        <v>29</v>
      </c>
      <c r="E4" s="122">
        <v>0.25</v>
      </c>
      <c r="F4" s="145">
        <v>2</v>
      </c>
      <c r="G4" s="121"/>
      <c r="H4" s="124"/>
      <c r="I4" s="125">
        <v>0.18</v>
      </c>
      <c r="J4" s="126">
        <v>0.12</v>
      </c>
      <c r="K4" s="126">
        <v>0</v>
      </c>
      <c r="L4" s="126">
        <v>0</v>
      </c>
      <c r="M4" s="126">
        <v>0</v>
      </c>
      <c r="N4" s="126">
        <v>0</v>
      </c>
      <c r="O4" s="126">
        <v>0.01</v>
      </c>
      <c r="P4" s="126">
        <v>0.01</v>
      </c>
      <c r="Q4" s="126">
        <v>0.01</v>
      </c>
      <c r="R4" s="126">
        <v>0.01</v>
      </c>
      <c r="S4" s="126">
        <v>0</v>
      </c>
      <c r="T4" s="126">
        <v>0.01</v>
      </c>
      <c r="U4" s="126">
        <v>0.01</v>
      </c>
      <c r="V4" s="126">
        <v>0</v>
      </c>
      <c r="W4" s="105" t="s">
        <v>30</v>
      </c>
      <c r="X4" s="101"/>
    </row>
    <row r="5" spans="1:24" ht="41.25" customHeight="1" x14ac:dyDescent="0.35">
      <c r="A5" s="652"/>
      <c r="B5" s="655"/>
      <c r="C5" s="658"/>
      <c r="D5" s="121" t="s">
        <v>31</v>
      </c>
      <c r="E5" s="122">
        <v>0.25</v>
      </c>
      <c r="F5" s="123" t="s">
        <v>32</v>
      </c>
      <c r="G5" s="121"/>
      <c r="H5" s="124"/>
      <c r="I5" s="120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</row>
    <row r="6" spans="1:24" ht="30" customHeight="1" x14ac:dyDescent="0.35">
      <c r="A6" s="652"/>
      <c r="B6" s="655"/>
      <c r="C6" s="658"/>
      <c r="D6" s="127" t="s">
        <v>33</v>
      </c>
      <c r="E6" s="141">
        <v>0.25</v>
      </c>
      <c r="F6" s="142" t="s">
        <v>34</v>
      </c>
      <c r="G6" s="127"/>
      <c r="H6" s="143"/>
      <c r="I6" s="144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</row>
    <row r="7" spans="1:24" ht="36" customHeight="1" x14ac:dyDescent="0.35">
      <c r="A7" s="652"/>
      <c r="B7" s="655"/>
      <c r="C7" s="658"/>
      <c r="D7" s="121" t="s">
        <v>35</v>
      </c>
      <c r="E7" s="128">
        <v>0.125</v>
      </c>
      <c r="F7" s="145">
        <v>6</v>
      </c>
      <c r="G7" s="121"/>
      <c r="H7" s="124"/>
      <c r="I7" s="120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</row>
    <row r="8" spans="1:24" ht="33" customHeight="1" x14ac:dyDescent="0.35">
      <c r="A8" s="653"/>
      <c r="B8" s="656"/>
      <c r="C8" s="659"/>
      <c r="D8" s="121" t="s">
        <v>36</v>
      </c>
      <c r="E8" s="128">
        <v>0.125</v>
      </c>
      <c r="F8" s="145">
        <v>3</v>
      </c>
      <c r="G8" s="121"/>
      <c r="H8" s="124"/>
      <c r="I8" s="120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</row>
    <row r="9" spans="1:24" ht="36" customHeight="1" x14ac:dyDescent="0.35">
      <c r="A9" s="651">
        <v>2</v>
      </c>
      <c r="B9" s="651" t="s">
        <v>37</v>
      </c>
      <c r="C9" s="657">
        <v>0.25</v>
      </c>
      <c r="D9" s="121" t="s">
        <v>38</v>
      </c>
      <c r="E9" s="122">
        <v>0.4</v>
      </c>
      <c r="F9" s="121" t="s">
        <v>39</v>
      </c>
      <c r="G9" s="121"/>
      <c r="H9" s="121"/>
      <c r="I9" s="120"/>
      <c r="J9" s="107" t="s">
        <v>9</v>
      </c>
      <c r="K9" s="107" t="s">
        <v>10</v>
      </c>
      <c r="L9" s="107" t="s">
        <v>11</v>
      </c>
      <c r="M9" s="107" t="s">
        <v>12</v>
      </c>
      <c r="N9" s="107" t="s">
        <v>13</v>
      </c>
      <c r="O9" s="107" t="s">
        <v>14</v>
      </c>
      <c r="P9" s="107" t="s">
        <v>15</v>
      </c>
      <c r="Q9" s="107" t="s">
        <v>16</v>
      </c>
      <c r="R9" s="107" t="s">
        <v>17</v>
      </c>
      <c r="S9" s="107" t="s">
        <v>18</v>
      </c>
      <c r="T9" s="98" t="s">
        <v>19</v>
      </c>
      <c r="U9" s="107" t="s">
        <v>20</v>
      </c>
      <c r="V9" s="107" t="s">
        <v>21</v>
      </c>
      <c r="W9" s="113"/>
      <c r="X9" s="101"/>
    </row>
    <row r="10" spans="1:24" ht="66" customHeight="1" x14ac:dyDescent="0.35">
      <c r="A10" s="652"/>
      <c r="B10" s="652"/>
      <c r="C10" s="658"/>
      <c r="D10" s="121" t="s">
        <v>40</v>
      </c>
      <c r="E10" s="122">
        <v>0.3</v>
      </c>
      <c r="F10" s="121"/>
      <c r="G10" s="121"/>
      <c r="H10" s="121"/>
      <c r="I10" s="120"/>
      <c r="J10" s="106">
        <v>0.98</v>
      </c>
      <c r="K10" s="108"/>
      <c r="L10" s="108"/>
      <c r="M10" s="106">
        <v>0.89</v>
      </c>
      <c r="N10" s="106">
        <v>0.96</v>
      </c>
      <c r="O10" s="109">
        <v>0.83</v>
      </c>
      <c r="P10" s="106">
        <v>0.77</v>
      </c>
      <c r="Q10" s="106">
        <v>0.85</v>
      </c>
      <c r="R10" s="110"/>
      <c r="S10" s="108"/>
      <c r="T10" s="106">
        <v>0.76</v>
      </c>
      <c r="U10" s="106">
        <v>0.97</v>
      </c>
      <c r="V10" s="108"/>
      <c r="W10" s="105" t="s">
        <v>41</v>
      </c>
      <c r="X10" s="101"/>
    </row>
    <row r="11" spans="1:24" ht="45.75" customHeight="1" x14ac:dyDescent="0.35">
      <c r="A11" s="653"/>
      <c r="B11" s="653"/>
      <c r="C11" s="659"/>
      <c r="D11" s="121" t="s">
        <v>42</v>
      </c>
      <c r="E11" s="122">
        <v>0.3</v>
      </c>
      <c r="F11" s="121"/>
      <c r="G11" s="121"/>
      <c r="H11" s="121"/>
      <c r="I11" s="120"/>
      <c r="J11" s="129">
        <v>0.05</v>
      </c>
      <c r="K11" s="129">
        <v>0.1</v>
      </c>
      <c r="L11" s="129">
        <v>0.1</v>
      </c>
      <c r="M11" s="129">
        <v>0.1</v>
      </c>
      <c r="N11" s="129">
        <v>0.11</v>
      </c>
      <c r="O11" s="129">
        <v>0.1</v>
      </c>
      <c r="P11" s="129">
        <v>0.1</v>
      </c>
      <c r="Q11" s="129">
        <v>0.1</v>
      </c>
      <c r="R11" s="129">
        <v>0</v>
      </c>
      <c r="S11" s="129">
        <v>0.1</v>
      </c>
      <c r="T11" s="129">
        <v>0.1</v>
      </c>
      <c r="U11" s="129">
        <v>0.02</v>
      </c>
      <c r="V11" s="129">
        <v>0.03</v>
      </c>
      <c r="W11" s="105" t="s">
        <v>43</v>
      </c>
      <c r="X11" s="101"/>
    </row>
    <row r="12" spans="1:24" ht="50.25" customHeight="1" x14ac:dyDescent="0.35">
      <c r="A12" s="651">
        <v>3</v>
      </c>
      <c r="B12" s="651" t="s">
        <v>44</v>
      </c>
      <c r="C12" s="657">
        <v>0.25</v>
      </c>
      <c r="D12" s="121" t="s">
        <v>45</v>
      </c>
      <c r="E12" s="122">
        <v>0.15</v>
      </c>
      <c r="F12" s="121"/>
      <c r="G12" s="121"/>
      <c r="H12" s="121"/>
      <c r="I12" s="130">
        <v>0.15</v>
      </c>
      <c r="J12" s="131">
        <v>1.2E-2</v>
      </c>
      <c r="K12" s="131">
        <v>0</v>
      </c>
      <c r="L12" s="131">
        <v>0</v>
      </c>
      <c r="M12" s="131">
        <v>2.1999999999999999E-2</v>
      </c>
      <c r="N12" s="131">
        <v>2.5999999999999999E-2</v>
      </c>
      <c r="O12" s="131">
        <v>2.1000000000000001E-2</v>
      </c>
      <c r="P12" s="131">
        <v>1.9E-2</v>
      </c>
      <c r="Q12" s="131">
        <v>2.1000000000000001E-2</v>
      </c>
      <c r="R12" s="131">
        <v>0</v>
      </c>
      <c r="S12" s="131">
        <v>0</v>
      </c>
      <c r="T12" s="131">
        <v>1.9E-2</v>
      </c>
      <c r="U12" s="131">
        <v>5.0000000000000001E-3</v>
      </c>
      <c r="V12" s="131">
        <v>0</v>
      </c>
      <c r="W12" s="105" t="s">
        <v>46</v>
      </c>
      <c r="X12" s="101"/>
    </row>
    <row r="13" spans="1:24" ht="53.25" customHeight="1" x14ac:dyDescent="0.35">
      <c r="A13" s="652"/>
      <c r="B13" s="652"/>
      <c r="C13" s="658"/>
      <c r="D13" s="121" t="s">
        <v>47</v>
      </c>
      <c r="E13" s="122">
        <v>0.2</v>
      </c>
      <c r="F13" s="121"/>
      <c r="G13" s="121"/>
      <c r="H13" s="121"/>
      <c r="I13" s="120"/>
      <c r="J13" s="111" t="s">
        <v>9</v>
      </c>
      <c r="K13" s="111" t="s">
        <v>10</v>
      </c>
      <c r="L13" s="111" t="s">
        <v>11</v>
      </c>
      <c r="M13" s="111" t="s">
        <v>12</v>
      </c>
      <c r="N13" s="111" t="s">
        <v>13</v>
      </c>
      <c r="O13" s="111" t="s">
        <v>14</v>
      </c>
      <c r="P13" s="111" t="s">
        <v>15</v>
      </c>
      <c r="Q13" s="111" t="s">
        <v>16</v>
      </c>
      <c r="R13" s="111" t="s">
        <v>17</v>
      </c>
      <c r="S13" s="111" t="s">
        <v>18</v>
      </c>
      <c r="T13" s="111" t="s">
        <v>19</v>
      </c>
      <c r="U13" s="111" t="s">
        <v>20</v>
      </c>
      <c r="V13" s="111" t="s">
        <v>21</v>
      </c>
      <c r="W13" s="113"/>
      <c r="X13" s="101"/>
    </row>
    <row r="14" spans="1:24" ht="69" customHeight="1" x14ac:dyDescent="0.35">
      <c r="A14" s="652"/>
      <c r="B14" s="652"/>
      <c r="C14" s="658"/>
      <c r="D14" s="121" t="s">
        <v>48</v>
      </c>
      <c r="E14" s="122">
        <v>0.2</v>
      </c>
      <c r="F14" s="121"/>
      <c r="G14" s="121"/>
      <c r="H14" s="121"/>
      <c r="I14" s="120"/>
      <c r="J14" s="106">
        <v>0.93</v>
      </c>
      <c r="K14" s="108"/>
      <c r="L14" s="108"/>
      <c r="M14" s="106">
        <v>0.92</v>
      </c>
      <c r="N14" s="106">
        <v>0.76</v>
      </c>
      <c r="O14" s="109">
        <v>0.61</v>
      </c>
      <c r="P14" s="106">
        <v>0.68</v>
      </c>
      <c r="Q14" s="106">
        <v>0.57999999999999996</v>
      </c>
      <c r="R14" s="106">
        <v>0.75</v>
      </c>
      <c r="S14" s="108"/>
      <c r="T14" s="106">
        <v>0.67</v>
      </c>
      <c r="U14" s="106">
        <v>0.55000000000000004</v>
      </c>
      <c r="V14" s="108"/>
      <c r="W14" s="105" t="s">
        <v>49</v>
      </c>
      <c r="X14" s="101"/>
    </row>
    <row r="15" spans="1:24" ht="46.5" customHeight="1" x14ac:dyDescent="0.35">
      <c r="A15" s="652"/>
      <c r="B15" s="652"/>
      <c r="C15" s="658"/>
      <c r="D15" s="121" t="s">
        <v>50</v>
      </c>
      <c r="E15" s="122">
        <v>0.2</v>
      </c>
      <c r="F15" s="121"/>
      <c r="G15" s="121"/>
      <c r="H15" s="121"/>
      <c r="I15" s="120"/>
      <c r="J15" s="106">
        <v>0.01</v>
      </c>
      <c r="K15" s="106">
        <v>0.01</v>
      </c>
      <c r="L15" s="106">
        <v>0.01</v>
      </c>
      <c r="M15" s="106">
        <v>0.13</v>
      </c>
      <c r="N15" s="106">
        <v>0.13</v>
      </c>
      <c r="O15" s="106">
        <v>0.1</v>
      </c>
      <c r="P15" s="106">
        <v>0.1</v>
      </c>
      <c r="Q15" s="106">
        <v>0.1</v>
      </c>
      <c r="R15" s="106">
        <v>0.05</v>
      </c>
      <c r="S15" s="106">
        <v>0.1</v>
      </c>
      <c r="T15" s="106">
        <v>0.1</v>
      </c>
      <c r="U15" s="106">
        <v>0.1</v>
      </c>
      <c r="V15" s="106">
        <v>0.06</v>
      </c>
      <c r="W15" s="105" t="s">
        <v>51</v>
      </c>
      <c r="X15" s="101"/>
    </row>
    <row r="16" spans="1:24" ht="36" customHeight="1" x14ac:dyDescent="0.35">
      <c r="A16" s="653"/>
      <c r="B16" s="653"/>
      <c r="C16" s="659"/>
      <c r="D16" s="121" t="s">
        <v>52</v>
      </c>
      <c r="E16" s="122">
        <v>0.25</v>
      </c>
      <c r="F16" s="121"/>
      <c r="G16" s="121"/>
      <c r="H16" s="121"/>
      <c r="I16" s="132">
        <v>0.14000000000000001</v>
      </c>
      <c r="J16" s="133">
        <v>2E-3</v>
      </c>
      <c r="K16" s="133">
        <v>0</v>
      </c>
      <c r="L16" s="133">
        <v>0</v>
      </c>
      <c r="M16" s="133">
        <v>0.03</v>
      </c>
      <c r="N16" s="133">
        <v>2.5000000000000001E-2</v>
      </c>
      <c r="O16" s="133">
        <v>1.4999999999999999E-2</v>
      </c>
      <c r="P16" s="133">
        <v>1.7000000000000001E-2</v>
      </c>
      <c r="Q16" s="133">
        <v>1.4999999999999999E-2</v>
      </c>
      <c r="R16" s="133">
        <v>8.9999999999999993E-3</v>
      </c>
      <c r="S16" s="133">
        <v>0</v>
      </c>
      <c r="T16" s="133">
        <v>1.7000000000000001E-2</v>
      </c>
      <c r="U16" s="133">
        <v>1.4E-2</v>
      </c>
      <c r="V16" s="133">
        <v>0</v>
      </c>
      <c r="W16" s="105" t="s">
        <v>46</v>
      </c>
      <c r="X16" s="101"/>
    </row>
    <row r="17" spans="1:24" ht="30" customHeight="1" x14ac:dyDescent="0.35">
      <c r="A17" s="134"/>
      <c r="B17" s="118"/>
      <c r="C17" s="118"/>
      <c r="D17" s="121"/>
      <c r="E17" s="135"/>
      <c r="F17" s="121"/>
      <c r="G17" s="121"/>
      <c r="H17" s="121"/>
      <c r="I17" s="120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</row>
    <row r="18" spans="1:24" ht="30" customHeight="1" x14ac:dyDescent="0.35">
      <c r="A18" s="134"/>
      <c r="B18" s="118"/>
      <c r="C18" s="118"/>
      <c r="D18" s="121"/>
      <c r="E18" s="117"/>
      <c r="F18" s="121"/>
      <c r="G18" s="121"/>
      <c r="H18" s="121"/>
      <c r="I18" s="136">
        <v>0.47</v>
      </c>
      <c r="J18" s="137" t="s">
        <v>53</v>
      </c>
      <c r="K18" s="138"/>
      <c r="L18" s="138"/>
      <c r="M18" s="138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</row>
    <row r="19" spans="1:24" ht="30" customHeight="1" x14ac:dyDescent="0.35">
      <c r="A19" s="134"/>
      <c r="B19" s="118"/>
      <c r="C19" s="118"/>
      <c r="D19" s="121"/>
      <c r="E19" s="117"/>
      <c r="F19" s="121"/>
      <c r="G19" s="121"/>
      <c r="H19" s="121"/>
      <c r="I19" s="120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</row>
    <row r="20" spans="1:24" ht="30" customHeight="1" x14ac:dyDescent="0.35">
      <c r="A20" s="134"/>
      <c r="B20" s="118"/>
      <c r="C20" s="118"/>
      <c r="D20" s="121"/>
      <c r="E20" s="117"/>
      <c r="F20" s="121"/>
      <c r="G20" s="121"/>
      <c r="H20" s="121"/>
      <c r="I20" s="120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</row>
    <row r="21" spans="1:24" ht="30" customHeight="1" x14ac:dyDescent="0.35">
      <c r="A21" s="134"/>
      <c r="B21" s="118"/>
      <c r="C21" s="118"/>
      <c r="D21" s="121"/>
      <c r="E21" s="117"/>
      <c r="F21" s="121"/>
      <c r="G21" s="121"/>
      <c r="H21" s="121"/>
      <c r="I21" s="120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</row>
    <row r="22" spans="1:24" ht="30" customHeight="1" x14ac:dyDescent="0.35">
      <c r="A22" s="134"/>
      <c r="B22" s="118"/>
      <c r="C22" s="118"/>
      <c r="D22" s="121"/>
      <c r="E22" s="117"/>
      <c r="F22" s="121"/>
      <c r="G22" s="121"/>
      <c r="H22" s="121"/>
      <c r="I22" s="120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</row>
    <row r="23" spans="1:24" ht="30" customHeight="1" x14ac:dyDescent="0.35">
      <c r="A23" s="134"/>
      <c r="B23" s="118"/>
      <c r="C23" s="118"/>
      <c r="D23" s="121"/>
      <c r="E23" s="117"/>
      <c r="F23" s="121"/>
      <c r="G23" s="121"/>
      <c r="H23" s="121"/>
      <c r="I23" s="120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</row>
    <row r="24" spans="1:24" ht="30" customHeight="1" x14ac:dyDescent="0.35">
      <c r="A24" s="134"/>
      <c r="B24" s="118"/>
      <c r="C24" s="118"/>
      <c r="D24" s="121"/>
      <c r="E24" s="117"/>
      <c r="F24" s="121"/>
      <c r="G24" s="121"/>
      <c r="H24" s="121"/>
      <c r="I24" s="120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</row>
  </sheetData>
  <mergeCells count="9">
    <mergeCell ref="A4:A8"/>
    <mergeCell ref="B4:B8"/>
    <mergeCell ref="C4:C8"/>
    <mergeCell ref="A12:A16"/>
    <mergeCell ref="B12:B16"/>
    <mergeCell ref="C12:C16"/>
    <mergeCell ref="A9:A11"/>
    <mergeCell ref="B9:B11"/>
    <mergeCell ref="C9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B6D9-9D62-4A90-A1B0-DE6BAF5A208B}">
  <dimension ref="A1:J7"/>
  <sheetViews>
    <sheetView workbookViewId="0">
      <selection activeCell="D5" sqref="D5"/>
    </sheetView>
  </sheetViews>
  <sheetFormatPr defaultColWidth="8.88671875" defaultRowHeight="14.4" x14ac:dyDescent="0.3"/>
  <cols>
    <col min="1" max="1" width="5.109375" customWidth="1"/>
    <col min="2" max="2" width="36.21875" customWidth="1"/>
    <col min="3" max="3" width="11.88671875" customWidth="1"/>
    <col min="4" max="9" width="11.33203125" bestFit="1" customWidth="1"/>
    <col min="10" max="10" width="13.6640625" customWidth="1"/>
  </cols>
  <sheetData>
    <row r="1" spans="1:10" x14ac:dyDescent="0.3">
      <c r="B1" s="155" t="s">
        <v>54</v>
      </c>
      <c r="C1" s="155"/>
    </row>
    <row r="2" spans="1:10" x14ac:dyDescent="0.3">
      <c r="B2" s="155"/>
      <c r="C2" s="156"/>
      <c r="D2" s="660"/>
      <c r="E2" s="660"/>
      <c r="F2" s="660"/>
      <c r="G2" s="660"/>
      <c r="H2" s="660"/>
      <c r="I2" s="660"/>
    </row>
    <row r="3" spans="1:10" ht="42" customHeight="1" x14ac:dyDescent="0.3">
      <c r="B3" s="191" t="s">
        <v>55</v>
      </c>
      <c r="C3" s="198" t="s">
        <v>56</v>
      </c>
      <c r="D3" s="199" t="s">
        <v>57</v>
      </c>
      <c r="E3" s="192" t="s">
        <v>58</v>
      </c>
      <c r="F3" s="192" t="s">
        <v>20</v>
      </c>
      <c r="G3" s="192" t="s">
        <v>12</v>
      </c>
      <c r="H3" s="192" t="s">
        <v>59</v>
      </c>
      <c r="I3" s="192" t="s">
        <v>21</v>
      </c>
      <c r="J3" s="197" t="s">
        <v>60</v>
      </c>
    </row>
    <row r="4" spans="1:10" s="1" customFormat="1" ht="43.2" x14ac:dyDescent="0.3">
      <c r="A4" s="1">
        <v>1</v>
      </c>
      <c r="B4" s="189" t="s">
        <v>28</v>
      </c>
      <c r="C4" s="187">
        <v>0.5</v>
      </c>
      <c r="D4" s="159">
        <v>0.8</v>
      </c>
      <c r="E4" s="159">
        <v>0.1</v>
      </c>
      <c r="F4" s="159">
        <v>0.3</v>
      </c>
      <c r="G4" s="159">
        <v>0</v>
      </c>
      <c r="H4" s="159">
        <v>0.1</v>
      </c>
      <c r="I4" s="159">
        <v>0.2</v>
      </c>
      <c r="J4" s="190"/>
    </row>
    <row r="5" spans="1:10" s="1" customFormat="1" ht="28.8" x14ac:dyDescent="0.3">
      <c r="A5" s="1">
        <v>2</v>
      </c>
      <c r="B5" s="189" t="s">
        <v>37</v>
      </c>
      <c r="C5" s="187">
        <v>0.25</v>
      </c>
      <c r="D5" s="159">
        <v>0.1</v>
      </c>
      <c r="E5" s="159">
        <v>0.6</v>
      </c>
      <c r="F5" s="159">
        <v>0.1</v>
      </c>
      <c r="G5" s="159">
        <v>0.4</v>
      </c>
      <c r="H5" s="159">
        <v>0.7</v>
      </c>
      <c r="I5" s="159">
        <v>0.6</v>
      </c>
      <c r="J5" s="190"/>
    </row>
    <row r="6" spans="1:10" s="1" customFormat="1" ht="43.2" x14ac:dyDescent="0.3">
      <c r="A6" s="1">
        <v>3</v>
      </c>
      <c r="B6" s="193" t="s">
        <v>44</v>
      </c>
      <c r="C6" s="195">
        <v>0.25</v>
      </c>
      <c r="D6" s="196">
        <v>0.1</v>
      </c>
      <c r="E6" s="196">
        <v>0.3</v>
      </c>
      <c r="F6" s="196">
        <v>0.6</v>
      </c>
      <c r="G6" s="196">
        <v>0.6</v>
      </c>
      <c r="H6" s="196">
        <v>0.2</v>
      </c>
      <c r="I6" s="196">
        <v>0.2</v>
      </c>
      <c r="J6" s="194"/>
    </row>
    <row r="7" spans="1:10" x14ac:dyDescent="0.3">
      <c r="B7" s="163" t="s">
        <v>61</v>
      </c>
      <c r="C7" s="188">
        <f>SUM(C4:C6)</f>
        <v>1</v>
      </c>
      <c r="D7" s="162">
        <f>SUBTOTAL(109,Table2[Presales])</f>
        <v>1</v>
      </c>
      <c r="E7" s="162">
        <f t="shared" ref="E7:J7" si="0">SUM(E4:E6)</f>
        <v>1</v>
      </c>
      <c r="F7" s="162">
        <f t="shared" si="0"/>
        <v>1</v>
      </c>
      <c r="G7" s="162">
        <f t="shared" si="0"/>
        <v>1</v>
      </c>
      <c r="H7" s="162">
        <f t="shared" si="0"/>
        <v>1</v>
      </c>
      <c r="I7" s="162">
        <f t="shared" si="0"/>
        <v>1</v>
      </c>
      <c r="J7" s="166">
        <f t="shared" si="0"/>
        <v>0</v>
      </c>
    </row>
  </sheetData>
  <mergeCells count="1">
    <mergeCell ref="D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87A6-7E5D-45F4-88E6-3B14B73505C1}">
  <dimension ref="A1:Q37"/>
  <sheetViews>
    <sheetView topLeftCell="D1" workbookViewId="0">
      <selection activeCell="F24" sqref="F24"/>
    </sheetView>
  </sheetViews>
  <sheetFormatPr defaultColWidth="8.88671875" defaultRowHeight="14.4" x14ac:dyDescent="0.3"/>
  <cols>
    <col min="1" max="1" width="19" style="212" customWidth="1"/>
    <col min="2" max="2" width="8.77734375" style="212" customWidth="1"/>
    <col min="3" max="3" width="4.6640625" style="204" customWidth="1"/>
    <col min="4" max="4" width="32.44140625" style="212" customWidth="1"/>
    <col min="5" max="5" width="6.88671875" style="204" bestFit="1" customWidth="1"/>
    <col min="6" max="6" width="61.33203125" style="204" customWidth="1"/>
    <col min="7" max="7" width="9.6640625" style="204" customWidth="1"/>
    <col min="8" max="8" width="13.6640625" style="212" bestFit="1" customWidth="1"/>
    <col min="9" max="12" width="8.44140625" style="212" bestFit="1" customWidth="1"/>
    <col min="13" max="13" width="8.88671875" style="212"/>
    <col min="14" max="14" width="17.109375" style="212" customWidth="1"/>
    <col min="15" max="16384" width="8.88671875" style="212"/>
  </cols>
  <sheetData>
    <row r="1" spans="1:15" s="204" customFormat="1" ht="28.8" x14ac:dyDescent="0.3">
      <c r="A1" s="200" t="s">
        <v>62</v>
      </c>
      <c r="B1" s="200" t="s">
        <v>63</v>
      </c>
      <c r="C1" s="200" t="s">
        <v>64</v>
      </c>
      <c r="D1" s="200" t="s">
        <v>65</v>
      </c>
      <c r="E1" s="200" t="s">
        <v>66</v>
      </c>
      <c r="F1" s="200" t="s">
        <v>67</v>
      </c>
      <c r="G1" s="200" t="s">
        <v>4</v>
      </c>
      <c r="H1" s="201" t="s">
        <v>68</v>
      </c>
      <c r="I1" s="202" t="s">
        <v>69</v>
      </c>
      <c r="J1" s="202" t="s">
        <v>70</v>
      </c>
      <c r="K1" s="202" t="s">
        <v>71</v>
      </c>
      <c r="L1" s="202" t="s">
        <v>72</v>
      </c>
      <c r="M1" s="202" t="s">
        <v>73</v>
      </c>
      <c r="N1" s="203" t="s">
        <v>74</v>
      </c>
    </row>
    <row r="2" spans="1:15" ht="43.2" x14ac:dyDescent="0.3">
      <c r="A2" s="675" t="s">
        <v>28</v>
      </c>
      <c r="B2" s="676">
        <v>0.8</v>
      </c>
      <c r="C2" s="677">
        <v>1</v>
      </c>
      <c r="D2" s="678" t="s">
        <v>75</v>
      </c>
      <c r="E2" s="206">
        <v>1.1000000000000001</v>
      </c>
      <c r="F2" s="207" t="s">
        <v>76</v>
      </c>
      <c r="G2" s="208">
        <v>0.15</v>
      </c>
      <c r="H2" s="209"/>
      <c r="I2" s="210"/>
      <c r="J2" s="210"/>
      <c r="K2" s="210"/>
      <c r="L2" s="210"/>
      <c r="M2" s="210">
        <f>I2+J2+K2+L2</f>
        <v>0</v>
      </c>
      <c r="N2" s="205" t="e">
        <f>(M2/H2)*G2*B2</f>
        <v>#DIV/0!</v>
      </c>
      <c r="O2" s="211"/>
    </row>
    <row r="3" spans="1:15" ht="28.8" x14ac:dyDescent="0.3">
      <c r="A3" s="675"/>
      <c r="B3" s="676"/>
      <c r="C3" s="677"/>
      <c r="D3" s="678"/>
      <c r="E3" s="206">
        <v>1.2</v>
      </c>
      <c r="F3" s="207" t="s">
        <v>77</v>
      </c>
      <c r="G3" s="208">
        <v>0.15</v>
      </c>
      <c r="H3" s="209"/>
      <c r="I3" s="210"/>
      <c r="J3" s="210"/>
      <c r="K3" s="210"/>
      <c r="L3" s="210"/>
      <c r="M3" s="210">
        <f t="shared" ref="M3:M19" si="0">I3+J3+K3+L3</f>
        <v>0</v>
      </c>
      <c r="N3" s="205" t="e">
        <f>(M3/H3)*G3*B2</f>
        <v>#DIV/0!</v>
      </c>
      <c r="O3" s="211"/>
    </row>
    <row r="4" spans="1:15" ht="28.8" x14ac:dyDescent="0.3">
      <c r="A4" s="675"/>
      <c r="B4" s="676"/>
      <c r="C4" s="677"/>
      <c r="D4" s="678"/>
      <c r="E4" s="206">
        <v>1.3</v>
      </c>
      <c r="F4" s="207" t="s">
        <v>78</v>
      </c>
      <c r="G4" s="208">
        <v>0.15</v>
      </c>
      <c r="H4" s="209"/>
      <c r="I4" s="210"/>
      <c r="J4" s="210"/>
      <c r="K4" s="210"/>
      <c r="L4" s="210"/>
      <c r="M4" s="210">
        <f t="shared" si="0"/>
        <v>0</v>
      </c>
      <c r="N4" s="205" t="e">
        <f>(M4/H4)*G4*B2</f>
        <v>#DIV/0!</v>
      </c>
      <c r="O4" s="211"/>
    </row>
    <row r="5" spans="1:15" ht="28.8" x14ac:dyDescent="0.3">
      <c r="A5" s="675"/>
      <c r="B5" s="676"/>
      <c r="C5" s="677"/>
      <c r="D5" s="678"/>
      <c r="E5" s="206">
        <v>1.4</v>
      </c>
      <c r="F5" s="207" t="s">
        <v>79</v>
      </c>
      <c r="G5" s="208">
        <v>0.15</v>
      </c>
      <c r="H5" s="209"/>
      <c r="I5" s="210"/>
      <c r="J5" s="210"/>
      <c r="K5" s="210"/>
      <c r="L5" s="210"/>
      <c r="M5" s="210">
        <f t="shared" si="0"/>
        <v>0</v>
      </c>
      <c r="N5" s="205" t="e">
        <f>(M5/H5)*G5*B2</f>
        <v>#DIV/0!</v>
      </c>
      <c r="O5" s="211"/>
    </row>
    <row r="6" spans="1:15" ht="28.8" x14ac:dyDescent="0.3">
      <c r="A6" s="675"/>
      <c r="B6" s="676"/>
      <c r="C6" s="679">
        <v>2</v>
      </c>
      <c r="D6" s="680" t="s">
        <v>80</v>
      </c>
      <c r="E6" s="213">
        <v>2.1</v>
      </c>
      <c r="F6" s="214" t="s">
        <v>81</v>
      </c>
      <c r="G6" s="215">
        <v>0.15</v>
      </c>
      <c r="H6" s="209"/>
      <c r="I6" s="210"/>
      <c r="J6" s="210"/>
      <c r="K6" s="210"/>
      <c r="L6" s="210"/>
      <c r="M6" s="210">
        <f t="shared" si="0"/>
        <v>0</v>
      </c>
      <c r="N6" s="205" t="e">
        <f>(M6/H6)*G6*B2</f>
        <v>#DIV/0!</v>
      </c>
      <c r="O6" s="211"/>
    </row>
    <row r="7" spans="1:15" ht="43.2" x14ac:dyDescent="0.3">
      <c r="A7" s="675"/>
      <c r="B7" s="676"/>
      <c r="C7" s="679"/>
      <c r="D7" s="680"/>
      <c r="E7" s="213">
        <v>2.2000000000000002</v>
      </c>
      <c r="F7" s="214" t="s">
        <v>82</v>
      </c>
      <c r="G7" s="215">
        <v>0.15</v>
      </c>
      <c r="H7" s="209"/>
      <c r="I7" s="210"/>
      <c r="J7" s="210"/>
      <c r="K7" s="210"/>
      <c r="L7" s="210"/>
      <c r="M7" s="210">
        <f t="shared" si="0"/>
        <v>0</v>
      </c>
      <c r="N7" s="205" t="e">
        <f>(M7/H7)*G7*B2</f>
        <v>#DIV/0!</v>
      </c>
      <c r="O7" s="211"/>
    </row>
    <row r="8" spans="1:15" ht="43.2" x14ac:dyDescent="0.3">
      <c r="A8" s="675"/>
      <c r="B8" s="676"/>
      <c r="C8" s="679"/>
      <c r="D8" s="680"/>
      <c r="E8" s="213">
        <v>2.2999999999999998</v>
      </c>
      <c r="F8" s="214" t="s">
        <v>83</v>
      </c>
      <c r="G8" s="215">
        <v>0.1</v>
      </c>
      <c r="H8" s="209"/>
      <c r="I8" s="210"/>
      <c r="J8" s="210"/>
      <c r="K8" s="210"/>
      <c r="L8" s="210"/>
      <c r="M8" s="210">
        <f t="shared" si="0"/>
        <v>0</v>
      </c>
      <c r="N8" s="205" t="e">
        <f>(M8/H8)*G8*B2</f>
        <v>#DIV/0!</v>
      </c>
      <c r="O8" s="211"/>
    </row>
    <row r="9" spans="1:15" ht="14.4" customHeight="1" x14ac:dyDescent="0.3">
      <c r="A9" s="675"/>
      <c r="B9" s="676"/>
      <c r="C9" s="216"/>
      <c r="D9" s="217"/>
      <c r="E9" s="216"/>
      <c r="F9" s="216"/>
      <c r="G9" s="259">
        <f>SUM(G2:G8)</f>
        <v>1</v>
      </c>
      <c r="H9" s="667" t="s">
        <v>84</v>
      </c>
      <c r="I9" s="667"/>
      <c r="J9" s="667"/>
      <c r="K9" s="667"/>
      <c r="L9" s="667"/>
      <c r="M9" s="667"/>
      <c r="N9" s="218" t="e">
        <f>SUM(N2:N8)</f>
        <v>#DIV/0!</v>
      </c>
      <c r="O9" s="211"/>
    </row>
    <row r="10" spans="1:15" ht="63" customHeight="1" x14ac:dyDescent="0.3">
      <c r="A10" s="661" t="s">
        <v>37</v>
      </c>
      <c r="B10" s="664">
        <v>0.1</v>
      </c>
      <c r="C10" s="670"/>
      <c r="D10" s="668" t="s">
        <v>85</v>
      </c>
      <c r="E10" s="210">
        <v>3.1</v>
      </c>
      <c r="F10" s="217" t="s">
        <v>86</v>
      </c>
      <c r="G10" s="510">
        <v>0.5</v>
      </c>
      <c r="H10" s="510"/>
      <c r="I10" s="510"/>
      <c r="J10" s="510"/>
      <c r="K10" s="510"/>
      <c r="L10" s="510"/>
      <c r="M10" s="510"/>
      <c r="N10" s="258" t="e">
        <f>(M10/H10)*G10*B10</f>
        <v>#DIV/0!</v>
      </c>
      <c r="O10" s="511"/>
    </row>
    <row r="11" spans="1:15" ht="63" customHeight="1" x14ac:dyDescent="0.3">
      <c r="A11" s="662"/>
      <c r="B11" s="665"/>
      <c r="C11" s="671"/>
      <c r="D11" s="669"/>
      <c r="E11" s="210">
        <v>3.2</v>
      </c>
      <c r="F11" s="217" t="s">
        <v>87</v>
      </c>
      <c r="G11" s="510">
        <v>0.5</v>
      </c>
      <c r="H11" s="510"/>
      <c r="I11" s="510"/>
      <c r="J11" s="510"/>
      <c r="K11" s="510"/>
      <c r="L11" s="510"/>
      <c r="M11" s="510"/>
      <c r="N11" s="258" t="e">
        <f>(M11/H11)*G11*B10</f>
        <v>#DIV/0!</v>
      </c>
      <c r="O11" s="511"/>
    </row>
    <row r="12" spans="1:15" x14ac:dyDescent="0.3">
      <c r="A12" s="663"/>
      <c r="B12" s="666"/>
      <c r="C12" s="216"/>
      <c r="D12" s="217"/>
      <c r="E12" s="216"/>
      <c r="F12" s="216"/>
      <c r="G12" s="259">
        <f>SUM(G10:G11)</f>
        <v>1</v>
      </c>
      <c r="H12" s="667" t="s">
        <v>88</v>
      </c>
      <c r="I12" s="667"/>
      <c r="J12" s="667"/>
      <c r="K12" s="667"/>
      <c r="L12" s="667"/>
      <c r="M12" s="667"/>
      <c r="N12" s="218" t="e">
        <f>SUM(N9:N11)</f>
        <v>#DIV/0!</v>
      </c>
      <c r="O12" s="211"/>
    </row>
    <row r="13" spans="1:15" ht="43.2" x14ac:dyDescent="0.3">
      <c r="A13" s="661" t="s">
        <v>44</v>
      </c>
      <c r="B13" s="664">
        <v>0.1</v>
      </c>
      <c r="C13" s="672">
        <v>1</v>
      </c>
      <c r="D13" s="673" t="s">
        <v>89</v>
      </c>
      <c r="E13" s="210">
        <v>4.0999999999999996</v>
      </c>
      <c r="F13" s="219" t="s">
        <v>90</v>
      </c>
      <c r="G13" s="205">
        <v>0.15</v>
      </c>
      <c r="H13" s="209"/>
      <c r="I13" s="210"/>
      <c r="J13" s="210"/>
      <c r="K13" s="210"/>
      <c r="L13" s="210"/>
      <c r="M13" s="210">
        <f t="shared" si="0"/>
        <v>0</v>
      </c>
      <c r="N13" s="205" t="e">
        <f>(M13/H13)*G13*B13</f>
        <v>#DIV/0!</v>
      </c>
      <c r="O13" s="211"/>
    </row>
    <row r="14" spans="1:15" ht="28.8" x14ac:dyDescent="0.3">
      <c r="A14" s="662"/>
      <c r="B14" s="665"/>
      <c r="C14" s="672"/>
      <c r="D14" s="673"/>
      <c r="E14" s="210">
        <v>4.2</v>
      </c>
      <c r="F14" s="219" t="s">
        <v>91</v>
      </c>
      <c r="G14" s="205">
        <v>0.1</v>
      </c>
      <c r="H14" s="209"/>
      <c r="I14" s="210"/>
      <c r="J14" s="210"/>
      <c r="K14" s="210"/>
      <c r="L14" s="210"/>
      <c r="M14" s="210">
        <f t="shared" si="0"/>
        <v>0</v>
      </c>
      <c r="N14" s="205" t="e">
        <f>(M14/H14)*G14*B13</f>
        <v>#DIV/0!</v>
      </c>
      <c r="O14" s="211"/>
    </row>
    <row r="15" spans="1:15" ht="28.8" x14ac:dyDescent="0.3">
      <c r="A15" s="662"/>
      <c r="B15" s="665"/>
      <c r="C15" s="672"/>
      <c r="D15" s="673"/>
      <c r="E15" s="210">
        <v>4.3</v>
      </c>
      <c r="F15" s="219" t="s">
        <v>92</v>
      </c>
      <c r="G15" s="205">
        <v>0.1</v>
      </c>
      <c r="H15" s="209"/>
      <c r="I15" s="210"/>
      <c r="J15" s="210"/>
      <c r="K15" s="210"/>
      <c r="L15" s="210"/>
      <c r="M15" s="210">
        <f t="shared" si="0"/>
        <v>0</v>
      </c>
      <c r="N15" s="205" t="e">
        <f>(M15/H15)*G15*B13</f>
        <v>#DIV/0!</v>
      </c>
      <c r="O15" s="211"/>
    </row>
    <row r="16" spans="1:15" ht="75" customHeight="1" x14ac:dyDescent="0.3">
      <c r="A16" s="662"/>
      <c r="B16" s="665"/>
      <c r="C16" s="210">
        <v>2</v>
      </c>
      <c r="D16" s="220" t="s">
        <v>93</v>
      </c>
      <c r="E16" s="210">
        <v>4.0999999999999996</v>
      </c>
      <c r="F16" s="221" t="s">
        <v>94</v>
      </c>
      <c r="G16" s="205">
        <v>0.2</v>
      </c>
      <c r="H16" s="209"/>
      <c r="I16" s="210"/>
      <c r="J16" s="210"/>
      <c r="K16" s="210"/>
      <c r="L16" s="210"/>
      <c r="M16" s="210">
        <f t="shared" si="0"/>
        <v>0</v>
      </c>
      <c r="N16" s="205" t="e">
        <f>(M16/H16)*G16*B16</f>
        <v>#DIV/0!</v>
      </c>
      <c r="O16" s="211"/>
    </row>
    <row r="17" spans="1:17" ht="45.75" customHeight="1" x14ac:dyDescent="0.3">
      <c r="A17" s="662"/>
      <c r="B17" s="665"/>
      <c r="C17" s="672">
        <v>3</v>
      </c>
      <c r="D17" s="673" t="s">
        <v>95</v>
      </c>
      <c r="E17" s="210">
        <v>5.0999999999999996</v>
      </c>
      <c r="F17" s="219" t="s">
        <v>96</v>
      </c>
      <c r="G17" s="205">
        <v>0.15</v>
      </c>
      <c r="H17" s="209"/>
      <c r="I17" s="210"/>
      <c r="J17" s="210"/>
      <c r="K17" s="210"/>
      <c r="L17" s="210"/>
      <c r="M17" s="210">
        <f t="shared" si="0"/>
        <v>0</v>
      </c>
      <c r="N17" s="205" t="e">
        <f>(M17/H17)*G17*B16</f>
        <v>#DIV/0!</v>
      </c>
      <c r="O17" s="211"/>
    </row>
    <row r="18" spans="1:17" ht="55.5" customHeight="1" x14ac:dyDescent="0.3">
      <c r="A18" s="662"/>
      <c r="B18" s="665"/>
      <c r="C18" s="672"/>
      <c r="D18" s="673"/>
      <c r="E18" s="210">
        <v>5.2</v>
      </c>
      <c r="F18" s="219" t="s">
        <v>97</v>
      </c>
      <c r="G18" s="205">
        <v>0.15</v>
      </c>
      <c r="H18" s="209"/>
      <c r="I18" s="210"/>
      <c r="J18" s="210"/>
      <c r="K18" s="210"/>
      <c r="L18" s="210"/>
      <c r="M18" s="210">
        <f t="shared" si="0"/>
        <v>0</v>
      </c>
      <c r="N18" s="205" t="e">
        <f>(M18/H18)*G18*B16</f>
        <v>#DIV/0!</v>
      </c>
      <c r="O18" s="211"/>
    </row>
    <row r="19" spans="1:17" ht="71.25" customHeight="1" x14ac:dyDescent="0.3">
      <c r="A19" s="662"/>
      <c r="B19" s="665"/>
      <c r="C19" s="210">
        <v>4</v>
      </c>
      <c r="D19" s="221" t="s">
        <v>98</v>
      </c>
      <c r="E19" s="210">
        <v>6.1</v>
      </c>
      <c r="F19" s="219" t="s">
        <v>99</v>
      </c>
      <c r="G19" s="205">
        <v>0.15</v>
      </c>
      <c r="H19" s="209"/>
      <c r="I19" s="210"/>
      <c r="J19" s="210"/>
      <c r="K19" s="210"/>
      <c r="L19" s="210"/>
      <c r="M19" s="210">
        <f t="shared" si="0"/>
        <v>0</v>
      </c>
      <c r="N19" s="205" t="e">
        <f>(M19/H19)*G19*B16</f>
        <v>#DIV/0!</v>
      </c>
      <c r="O19" s="211"/>
    </row>
    <row r="20" spans="1:17" x14ac:dyDescent="0.3">
      <c r="A20" s="663"/>
      <c r="B20" s="666"/>
      <c r="C20" s="484"/>
      <c r="D20" s="485"/>
      <c r="E20" s="484"/>
      <c r="F20" s="486"/>
      <c r="G20" s="487">
        <f>SUM(G13:G19)</f>
        <v>1</v>
      </c>
      <c r="H20" s="674" t="s">
        <v>100</v>
      </c>
      <c r="I20" s="674"/>
      <c r="J20" s="674"/>
      <c r="K20" s="674"/>
      <c r="L20" s="674"/>
      <c r="M20" s="674"/>
      <c r="N20" s="488" t="e">
        <f>SUM(N13:N19)</f>
        <v>#DIV/0!</v>
      </c>
    </row>
    <row r="21" spans="1:17" ht="22.5" customHeight="1" x14ac:dyDescent="0.3">
      <c r="B21" s="489">
        <f>SUM(B1:B20)</f>
        <v>1</v>
      </c>
      <c r="C21" s="490" t="s">
        <v>101</v>
      </c>
      <c r="D21" s="491"/>
      <c r="E21" s="492"/>
      <c r="F21" s="492"/>
      <c r="G21" s="492"/>
      <c r="H21" s="491"/>
      <c r="I21" s="491"/>
      <c r="J21" s="491"/>
      <c r="K21" s="491"/>
      <c r="L21" s="491"/>
      <c r="M21" s="491"/>
      <c r="N21" s="491"/>
    </row>
    <row r="22" spans="1:17" ht="15" thickBot="1" x14ac:dyDescent="0.35"/>
    <row r="23" spans="1:17" s="476" customFormat="1" ht="12.6" thickBot="1" x14ac:dyDescent="0.35">
      <c r="A23" s="469"/>
      <c r="B23" s="469"/>
      <c r="C23" s="470" t="s">
        <v>102</v>
      </c>
      <c r="D23" s="471"/>
      <c r="E23" s="472"/>
      <c r="F23" s="473"/>
      <c r="G23" s="483" t="s">
        <v>103</v>
      </c>
      <c r="H23" s="474"/>
      <c r="I23" s="474"/>
      <c r="J23" s="474"/>
      <c r="K23" s="474"/>
      <c r="L23" s="474"/>
      <c r="M23" s="474"/>
      <c r="N23" s="474"/>
      <c r="O23" s="474"/>
      <c r="P23" s="474"/>
      <c r="Q23" s="475"/>
    </row>
    <row r="24" spans="1:17" s="476" customFormat="1" ht="12.6" thickBot="1" x14ac:dyDescent="0.35">
      <c r="A24" s="469"/>
      <c r="B24" s="469"/>
      <c r="C24" s="477" t="s">
        <v>104</v>
      </c>
      <c r="D24" s="478" t="s">
        <v>105</v>
      </c>
      <c r="E24" s="478" t="s">
        <v>106</v>
      </c>
      <c r="F24" s="479"/>
      <c r="G24" s="681"/>
      <c r="H24" s="682"/>
      <c r="I24" s="682"/>
      <c r="J24" s="682"/>
      <c r="K24" s="682"/>
      <c r="L24" s="682"/>
      <c r="M24" s="682"/>
      <c r="N24" s="682"/>
      <c r="O24" s="682"/>
      <c r="P24" s="682"/>
      <c r="Q24" s="683"/>
    </row>
    <row r="25" spans="1:17" s="476" customFormat="1" ht="12" thickBot="1" x14ac:dyDescent="0.35">
      <c r="A25" s="469"/>
      <c r="B25" s="469"/>
      <c r="C25" s="477" t="s">
        <v>107</v>
      </c>
      <c r="D25" s="480" t="s">
        <v>108</v>
      </c>
      <c r="E25" s="481">
        <v>6</v>
      </c>
      <c r="F25" s="482"/>
      <c r="G25" s="684"/>
      <c r="H25" s="685"/>
      <c r="I25" s="685"/>
      <c r="J25" s="685"/>
      <c r="K25" s="685"/>
      <c r="L25" s="685"/>
      <c r="M25" s="685"/>
      <c r="N25" s="685"/>
      <c r="O25" s="685"/>
      <c r="P25" s="685"/>
      <c r="Q25" s="686"/>
    </row>
    <row r="26" spans="1:17" s="476" customFormat="1" ht="12" thickBot="1" x14ac:dyDescent="0.35">
      <c r="A26" s="469"/>
      <c r="B26" s="469"/>
      <c r="C26" s="477" t="s">
        <v>109</v>
      </c>
      <c r="D26" s="480" t="s">
        <v>110</v>
      </c>
      <c r="E26" s="481">
        <v>5</v>
      </c>
      <c r="F26" s="482"/>
      <c r="G26" s="482"/>
      <c r="H26" s="474"/>
      <c r="I26" s="474"/>
      <c r="J26" s="474"/>
      <c r="K26" s="474"/>
      <c r="L26" s="474"/>
      <c r="M26" s="474"/>
      <c r="N26" s="474"/>
      <c r="O26" s="474"/>
      <c r="P26" s="474"/>
      <c r="Q26" s="475"/>
    </row>
    <row r="27" spans="1:17" s="476" customFormat="1" ht="12.6" thickBot="1" x14ac:dyDescent="0.35">
      <c r="A27" s="469"/>
      <c r="B27" s="469"/>
      <c r="C27" s="477" t="s">
        <v>111</v>
      </c>
      <c r="D27" s="480" t="s">
        <v>112</v>
      </c>
      <c r="E27" s="481">
        <v>4</v>
      </c>
      <c r="F27" s="482"/>
      <c r="G27" s="483" t="s">
        <v>113</v>
      </c>
      <c r="H27" s="474"/>
      <c r="I27" s="474"/>
      <c r="J27" s="474"/>
      <c r="K27" s="474"/>
      <c r="L27" s="474"/>
      <c r="M27" s="474"/>
      <c r="N27" s="474"/>
      <c r="O27" s="474"/>
      <c r="P27" s="474"/>
      <c r="Q27" s="475"/>
    </row>
    <row r="28" spans="1:17" s="476" customFormat="1" ht="12" thickBot="1" x14ac:dyDescent="0.35">
      <c r="A28" s="469"/>
      <c r="B28" s="469"/>
      <c r="C28" s="477" t="s">
        <v>114</v>
      </c>
      <c r="D28" s="480" t="s">
        <v>115</v>
      </c>
      <c r="E28" s="481">
        <v>3</v>
      </c>
      <c r="F28" s="482"/>
      <c r="G28" s="687"/>
      <c r="H28" s="688"/>
      <c r="I28" s="688"/>
      <c r="J28" s="688"/>
      <c r="K28" s="688"/>
      <c r="L28" s="688"/>
      <c r="M28" s="688"/>
      <c r="N28" s="688"/>
      <c r="O28" s="688"/>
      <c r="P28" s="688"/>
      <c r="Q28" s="689"/>
    </row>
    <row r="29" spans="1:17" s="476" customFormat="1" ht="12" thickBot="1" x14ac:dyDescent="0.35">
      <c r="A29" s="469"/>
      <c r="B29" s="469"/>
      <c r="C29" s="477" t="s">
        <v>116</v>
      </c>
      <c r="D29" s="480" t="s">
        <v>117</v>
      </c>
      <c r="E29" s="481">
        <v>2</v>
      </c>
      <c r="F29" s="482"/>
      <c r="G29" s="690"/>
      <c r="H29" s="691"/>
      <c r="I29" s="691"/>
      <c r="J29" s="691"/>
      <c r="K29" s="691"/>
      <c r="L29" s="691"/>
      <c r="M29" s="691"/>
      <c r="N29" s="691"/>
      <c r="O29" s="691"/>
      <c r="P29" s="691"/>
      <c r="Q29" s="692"/>
    </row>
    <row r="30" spans="1:17" s="476" customFormat="1" ht="12" thickBot="1" x14ac:dyDescent="0.35">
      <c r="A30" s="469"/>
      <c r="B30" s="469"/>
      <c r="C30" s="480" t="s">
        <v>118</v>
      </c>
      <c r="D30" s="480" t="s">
        <v>119</v>
      </c>
      <c r="E30" s="481">
        <v>1</v>
      </c>
      <c r="F30" s="482"/>
      <c r="G30" s="693"/>
      <c r="H30" s="694"/>
      <c r="I30" s="694"/>
      <c r="J30" s="694"/>
      <c r="K30" s="694"/>
      <c r="L30" s="694"/>
      <c r="M30" s="694"/>
      <c r="N30" s="694"/>
      <c r="O30" s="694"/>
      <c r="P30" s="694"/>
      <c r="Q30" s="695"/>
    </row>
    <row r="31" spans="1:17" s="331" customFormat="1" ht="13.2" x14ac:dyDescent="0.3">
      <c r="A31" s="329"/>
      <c r="B31" s="329"/>
      <c r="C31" s="424"/>
      <c r="D31" s="432"/>
      <c r="H31" s="424"/>
      <c r="I31" s="424"/>
      <c r="J31" s="424"/>
      <c r="K31" s="424"/>
      <c r="L31" s="424"/>
      <c r="M31" s="424"/>
      <c r="N31" s="424"/>
      <c r="O31" s="424"/>
      <c r="P31" s="424"/>
      <c r="Q31" s="427"/>
    </row>
    <row r="32" spans="1:17" s="331" customFormat="1" ht="13.2" x14ac:dyDescent="0.3">
      <c r="A32" s="329"/>
      <c r="B32" s="329"/>
      <c r="C32" s="424"/>
      <c r="D32" s="330"/>
      <c r="E32" s="428"/>
      <c r="F32" s="428"/>
      <c r="G32" s="428"/>
      <c r="H32" s="424"/>
      <c r="I32" s="424"/>
      <c r="J32" s="424"/>
      <c r="K32" s="424"/>
      <c r="L32" s="424"/>
      <c r="M32" s="424"/>
      <c r="N32" s="424"/>
      <c r="O32" s="424"/>
      <c r="P32" s="424"/>
      <c r="Q32" s="427"/>
    </row>
    <row r="33" spans="1:17" s="331" customFormat="1" ht="13.2" x14ac:dyDescent="0.3">
      <c r="A33" s="329"/>
      <c r="B33" s="329"/>
      <c r="C33" s="429" t="s">
        <v>120</v>
      </c>
      <c r="D33" s="430"/>
      <c r="E33" s="431"/>
      <c r="F33" s="431"/>
      <c r="G33" s="431"/>
      <c r="H33" s="424"/>
      <c r="I33" s="432"/>
      <c r="J33" s="424"/>
      <c r="K33" s="424"/>
      <c r="L33" s="424"/>
      <c r="M33" s="424"/>
      <c r="N33" s="424"/>
      <c r="O33" s="424"/>
      <c r="P33" s="424"/>
      <c r="Q33" s="424"/>
    </row>
    <row r="34" spans="1:17" s="331" customFormat="1" ht="13.2" x14ac:dyDescent="0.3">
      <c r="A34" s="329"/>
      <c r="B34" s="329"/>
      <c r="C34" s="429"/>
      <c r="D34" s="430"/>
      <c r="E34" s="431"/>
      <c r="F34" s="431"/>
      <c r="G34" s="431"/>
      <c r="H34" s="424"/>
      <c r="I34" s="432"/>
      <c r="J34" s="424"/>
      <c r="K34" s="424"/>
      <c r="L34" s="424"/>
      <c r="M34" s="424"/>
      <c r="N34" s="424"/>
      <c r="O34" s="424"/>
      <c r="P34" s="424"/>
      <c r="Q34" s="424"/>
    </row>
    <row r="35" spans="1:17" s="331" customFormat="1" ht="13.2" x14ac:dyDescent="0.3">
      <c r="A35" s="329"/>
      <c r="B35" s="329"/>
      <c r="C35" s="432"/>
      <c r="D35" s="330"/>
      <c r="E35" s="430"/>
      <c r="F35" s="430"/>
      <c r="G35" s="430"/>
      <c r="H35" s="424"/>
      <c r="I35" s="432"/>
      <c r="J35" s="424"/>
      <c r="K35" s="424"/>
      <c r="L35" s="424"/>
      <c r="M35" s="424"/>
      <c r="N35" s="424"/>
      <c r="O35" s="424"/>
      <c r="P35" s="424"/>
      <c r="Q35" s="424"/>
    </row>
    <row r="36" spans="1:17" s="331" customFormat="1" ht="13.2" x14ac:dyDescent="0.3">
      <c r="A36" s="329"/>
      <c r="B36" s="329"/>
      <c r="C36" s="433" t="s">
        <v>121</v>
      </c>
      <c r="D36" s="434"/>
      <c r="E36" s="430"/>
      <c r="F36" s="430"/>
      <c r="G36" s="430"/>
      <c r="H36" s="424"/>
      <c r="I36" s="435"/>
      <c r="J36" s="424"/>
      <c r="K36" s="424"/>
      <c r="L36" s="424"/>
      <c r="M36" s="424"/>
      <c r="N36" s="424"/>
      <c r="O36" s="424"/>
      <c r="P36" s="424"/>
      <c r="Q36" s="424"/>
    </row>
    <row r="37" spans="1:17" s="331" customFormat="1" ht="13.2" x14ac:dyDescent="0.3">
      <c r="A37" s="329"/>
      <c r="B37" s="329"/>
      <c r="C37" s="432"/>
      <c r="D37" s="330"/>
      <c r="E37" s="330"/>
      <c r="F37" s="330"/>
      <c r="G37" s="330"/>
      <c r="H37" s="424"/>
      <c r="I37" s="432"/>
      <c r="J37" s="424"/>
      <c r="K37" s="424"/>
      <c r="L37" s="424"/>
      <c r="M37" s="424"/>
      <c r="N37" s="424"/>
      <c r="O37" s="424"/>
      <c r="P37" s="424"/>
      <c r="Q37" s="424"/>
    </row>
  </sheetData>
  <mergeCells count="21">
    <mergeCell ref="G24:Q25"/>
    <mergeCell ref="G28:Q30"/>
    <mergeCell ref="H9:M9"/>
    <mergeCell ref="C13:C15"/>
    <mergeCell ref="D13:D15"/>
    <mergeCell ref="A2:A9"/>
    <mergeCell ref="B2:B9"/>
    <mergeCell ref="C2:C5"/>
    <mergeCell ref="D2:D5"/>
    <mergeCell ref="C6:C8"/>
    <mergeCell ref="D6:D8"/>
    <mergeCell ref="A10:A12"/>
    <mergeCell ref="B10:B12"/>
    <mergeCell ref="B13:B20"/>
    <mergeCell ref="H12:M12"/>
    <mergeCell ref="D10:D11"/>
    <mergeCell ref="C10:C11"/>
    <mergeCell ref="A13:A20"/>
    <mergeCell ref="C17:C18"/>
    <mergeCell ref="D17:D18"/>
    <mergeCell ref="H20:M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08CD-11C5-43B4-98D6-97805130F87E}">
  <dimension ref="A1:Q41"/>
  <sheetViews>
    <sheetView topLeftCell="A3" zoomScale="90" zoomScaleNormal="90" workbookViewId="0">
      <selection activeCell="E5" sqref="E5"/>
    </sheetView>
  </sheetViews>
  <sheetFormatPr defaultColWidth="9.109375" defaultRowHeight="13.2" x14ac:dyDescent="0.3"/>
  <cols>
    <col min="1" max="1" width="2.77734375" style="331" customWidth="1"/>
    <col min="2" max="2" width="8.21875" style="331" customWidth="1"/>
    <col min="3" max="3" width="11.44140625" style="331" customWidth="1"/>
    <col min="4" max="4" width="38.21875" style="428" customWidth="1"/>
    <col min="5" max="5" width="48" style="428" customWidth="1"/>
    <col min="6" max="6" width="18.109375" style="428" customWidth="1"/>
    <col min="7" max="7" width="21.109375" style="428" customWidth="1"/>
    <col min="8" max="8" width="11.44140625" style="436" customWidth="1"/>
    <col min="9" max="9" width="12.33203125" style="331" customWidth="1"/>
    <col min="10" max="10" width="11.44140625" style="436" customWidth="1"/>
    <col min="11" max="11" width="12.6640625" style="436" customWidth="1"/>
    <col min="12" max="12" width="12" style="436" customWidth="1"/>
    <col min="13" max="13" width="11.44140625" style="436" customWidth="1"/>
    <col min="14" max="15" width="10.77734375" style="436" customWidth="1"/>
    <col min="16" max="16" width="10.21875" style="436" customWidth="1"/>
    <col min="17" max="17" width="14.109375" style="436" customWidth="1"/>
    <col min="18" max="16384" width="9.109375" style="331"/>
  </cols>
  <sheetData>
    <row r="1" spans="1:17" ht="13.8" thickBot="1" x14ac:dyDescent="0.35">
      <c r="A1" s="329"/>
      <c r="B1" s="332"/>
      <c r="C1" s="333"/>
      <c r="D1" s="334" t="s">
        <v>122</v>
      </c>
      <c r="E1" s="705" t="s">
        <v>123</v>
      </c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7"/>
      <c r="Q1" s="335" t="s">
        <v>124</v>
      </c>
    </row>
    <row r="2" spans="1:17" s="445" customFormat="1" ht="41.25" customHeight="1" thickBot="1" x14ac:dyDescent="0.3">
      <c r="A2" s="437"/>
      <c r="B2" s="438" t="s">
        <v>125</v>
      </c>
      <c r="C2" s="439" t="s">
        <v>126</v>
      </c>
      <c r="D2" s="440" t="s">
        <v>127</v>
      </c>
      <c r="E2" s="441" t="s">
        <v>128</v>
      </c>
      <c r="F2" s="442" t="s">
        <v>129</v>
      </c>
      <c r="G2" s="439" t="s">
        <v>130</v>
      </c>
      <c r="H2" s="443" t="s">
        <v>4</v>
      </c>
      <c r="I2" s="443" t="s">
        <v>68</v>
      </c>
      <c r="J2" s="439" t="s">
        <v>131</v>
      </c>
      <c r="K2" s="439" t="s">
        <v>132</v>
      </c>
      <c r="L2" s="439" t="s">
        <v>133</v>
      </c>
      <c r="M2" s="439" t="s">
        <v>134</v>
      </c>
      <c r="N2" s="444" t="s">
        <v>135</v>
      </c>
      <c r="O2" s="444" t="s">
        <v>74</v>
      </c>
      <c r="P2" s="444"/>
      <c r="Q2" s="444"/>
    </row>
    <row r="3" spans="1:17" s="348" customFormat="1" ht="66.75" customHeight="1" thickBot="1" x14ac:dyDescent="0.35">
      <c r="A3" s="336"/>
      <c r="B3" s="337" t="s">
        <v>136</v>
      </c>
      <c r="C3" s="338">
        <v>0</v>
      </c>
      <c r="D3" s="339" t="s">
        <v>137</v>
      </c>
      <c r="E3" s="340" t="s">
        <v>138</v>
      </c>
      <c r="F3" s="341"/>
      <c r="G3" s="342"/>
      <c r="H3" s="343"/>
      <c r="I3" s="344"/>
      <c r="J3" s="345"/>
      <c r="K3" s="345"/>
      <c r="L3" s="345"/>
      <c r="M3" s="345"/>
      <c r="N3" s="346"/>
      <c r="O3" s="347"/>
      <c r="P3" s="346"/>
      <c r="Q3" s="346"/>
    </row>
    <row r="4" spans="1:17" ht="61.5" customHeight="1" x14ac:dyDescent="0.3">
      <c r="A4" s="329"/>
      <c r="B4" s="714" t="s">
        <v>37</v>
      </c>
      <c r="C4" s="717">
        <v>0.4</v>
      </c>
      <c r="D4" s="720" t="s">
        <v>139</v>
      </c>
      <c r="E4" s="446" t="s">
        <v>140</v>
      </c>
      <c r="F4" s="349"/>
      <c r="G4" s="452" t="s">
        <v>141</v>
      </c>
      <c r="H4" s="350">
        <v>0.2</v>
      </c>
      <c r="I4" s="351"/>
      <c r="J4" s="352"/>
      <c r="K4" s="352"/>
      <c r="L4" s="352"/>
      <c r="M4" s="352"/>
      <c r="N4" s="353">
        <f t="shared" ref="N4:N6" si="0">SUM(J4:M4)</f>
        <v>0</v>
      </c>
      <c r="O4" s="354" t="e">
        <f>(N4/I4)*H4*#REF!</f>
        <v>#DIV/0!</v>
      </c>
      <c r="P4" s="355"/>
      <c r="Q4" s="356"/>
    </row>
    <row r="5" spans="1:17" ht="103.5" customHeight="1" x14ac:dyDescent="0.3">
      <c r="A5" s="329"/>
      <c r="B5" s="715"/>
      <c r="C5" s="718"/>
      <c r="D5" s="721"/>
      <c r="E5" s="447" t="s">
        <v>142</v>
      </c>
      <c r="F5" s="357"/>
      <c r="G5" s="453" t="s">
        <v>143</v>
      </c>
      <c r="H5" s="358">
        <v>0.25</v>
      </c>
      <c r="I5" s="359"/>
      <c r="J5" s="360"/>
      <c r="K5" s="360"/>
      <c r="L5" s="360"/>
      <c r="M5" s="360"/>
      <c r="N5" s="361">
        <f t="shared" si="0"/>
        <v>0</v>
      </c>
      <c r="O5" s="362" t="e">
        <f>(N5/I5)*H5*#REF!</f>
        <v>#DIV/0!</v>
      </c>
      <c r="P5" s="363"/>
      <c r="Q5" s="364"/>
    </row>
    <row r="6" spans="1:17" ht="44.25" customHeight="1" x14ac:dyDescent="0.3">
      <c r="A6" s="329"/>
      <c r="B6" s="715"/>
      <c r="C6" s="718"/>
      <c r="D6" s="721"/>
      <c r="E6" s="448" t="s">
        <v>144</v>
      </c>
      <c r="F6" s="365"/>
      <c r="G6" s="453" t="s">
        <v>145</v>
      </c>
      <c r="H6" s="366">
        <v>0.3</v>
      </c>
      <c r="I6" s="359"/>
      <c r="J6" s="360"/>
      <c r="K6" s="360"/>
      <c r="L6" s="360"/>
      <c r="M6" s="360"/>
      <c r="N6" s="361">
        <f t="shared" si="0"/>
        <v>0</v>
      </c>
      <c r="O6" s="362" t="e">
        <f>(N6/I6)*H6*#REF!</f>
        <v>#DIV/0!</v>
      </c>
      <c r="P6" s="363"/>
      <c r="Q6" s="364"/>
    </row>
    <row r="7" spans="1:17" ht="45" customHeight="1" thickBot="1" x14ac:dyDescent="0.35">
      <c r="A7" s="329"/>
      <c r="B7" s="715"/>
      <c r="C7" s="718"/>
      <c r="D7" s="721"/>
      <c r="E7" s="449" t="s">
        <v>146</v>
      </c>
      <c r="F7" s="367"/>
      <c r="G7" s="454" t="s">
        <v>147</v>
      </c>
      <c r="H7" s="368">
        <v>0.25</v>
      </c>
      <c r="I7" s="369"/>
      <c r="J7" s="370"/>
      <c r="K7" s="370"/>
      <c r="L7" s="371"/>
      <c r="M7" s="371"/>
      <c r="N7" s="372"/>
      <c r="O7" s="373"/>
      <c r="P7" s="374"/>
      <c r="Q7" s="374"/>
    </row>
    <row r="8" spans="1:17" ht="20.25" customHeight="1" thickBot="1" x14ac:dyDescent="0.35">
      <c r="A8" s="329"/>
      <c r="B8" s="716"/>
      <c r="C8" s="719"/>
      <c r="D8" s="722"/>
      <c r="E8" s="375"/>
      <c r="F8" s="376"/>
      <c r="G8" s="455"/>
      <c r="H8" s="377">
        <f>SUM(H4:H7)</f>
        <v>1</v>
      </c>
      <c r="I8" s="344"/>
      <c r="J8" s="378"/>
      <c r="K8" s="378"/>
      <c r="L8" s="723" t="s">
        <v>88</v>
      </c>
      <c r="M8" s="724"/>
      <c r="N8" s="725"/>
      <c r="O8" s="379" t="e">
        <f>SUM(O4:O6)</f>
        <v>#DIV/0!</v>
      </c>
      <c r="P8" s="380"/>
      <c r="Q8" s="381"/>
    </row>
    <row r="9" spans="1:17" ht="46.5" customHeight="1" x14ac:dyDescent="0.3">
      <c r="A9" s="329"/>
      <c r="B9" s="715" t="s">
        <v>148</v>
      </c>
      <c r="C9" s="726">
        <v>0.6</v>
      </c>
      <c r="D9" s="728" t="s">
        <v>149</v>
      </c>
      <c r="E9" s="446" t="s">
        <v>150</v>
      </c>
      <c r="F9" s="349"/>
      <c r="G9" s="452" t="s">
        <v>151</v>
      </c>
      <c r="H9" s="350">
        <v>0.15</v>
      </c>
      <c r="I9" s="351"/>
      <c r="J9" s="352"/>
      <c r="K9" s="352"/>
      <c r="L9" s="352"/>
      <c r="M9" s="352"/>
      <c r="N9" s="382">
        <f>SUM(J9:M9)</f>
        <v>0</v>
      </c>
      <c r="O9" s="383" t="e">
        <f>(N9/I9)*H9*$C$9</f>
        <v>#DIV/0!</v>
      </c>
      <c r="P9" s="384"/>
      <c r="Q9" s="385"/>
    </row>
    <row r="10" spans="1:17" ht="66" customHeight="1" thickBot="1" x14ac:dyDescent="0.35">
      <c r="A10" s="329"/>
      <c r="B10" s="715"/>
      <c r="C10" s="727"/>
      <c r="D10" s="729"/>
      <c r="E10" s="403" t="s">
        <v>152</v>
      </c>
      <c r="F10" s="386"/>
      <c r="G10" s="456" t="s">
        <v>153</v>
      </c>
      <c r="H10" s="387">
        <v>0.15</v>
      </c>
      <c r="I10" s="388"/>
      <c r="J10" s="389"/>
      <c r="K10" s="389"/>
      <c r="L10" s="389"/>
      <c r="M10" s="389"/>
      <c r="N10" s="390">
        <f t="shared" ref="N10:N20" si="1">SUM(J10:M10)</f>
        <v>0</v>
      </c>
      <c r="O10" s="391" t="e">
        <f t="shared" ref="O10:O14" si="2">(N10/I10)*H10*$C$9</f>
        <v>#DIV/0!</v>
      </c>
      <c r="P10" s="392"/>
      <c r="Q10" s="393"/>
    </row>
    <row r="11" spans="1:17" ht="43.5" customHeight="1" x14ac:dyDescent="0.3">
      <c r="A11" s="329"/>
      <c r="B11" s="715"/>
      <c r="C11" s="727"/>
      <c r="D11" s="730" t="s">
        <v>154</v>
      </c>
      <c r="E11" s="446" t="s">
        <v>155</v>
      </c>
      <c r="F11" s="349"/>
      <c r="G11" s="452" t="s">
        <v>156</v>
      </c>
      <c r="H11" s="350">
        <v>0.05</v>
      </c>
      <c r="I11" s="351"/>
      <c r="J11" s="352"/>
      <c r="K11" s="352"/>
      <c r="L11" s="352"/>
      <c r="M11" s="352"/>
      <c r="N11" s="382">
        <f t="shared" si="1"/>
        <v>0</v>
      </c>
      <c r="O11" s="383" t="e">
        <f t="shared" si="2"/>
        <v>#DIV/0!</v>
      </c>
      <c r="P11" s="384"/>
      <c r="Q11" s="385"/>
    </row>
    <row r="12" spans="1:17" ht="37.5" customHeight="1" x14ac:dyDescent="0.3">
      <c r="A12" s="329"/>
      <c r="B12" s="715"/>
      <c r="C12" s="727"/>
      <c r="D12" s="731"/>
      <c r="E12" s="448" t="s">
        <v>157</v>
      </c>
      <c r="F12" s="357"/>
      <c r="G12" s="453" t="s">
        <v>156</v>
      </c>
      <c r="H12" s="366">
        <v>0.05</v>
      </c>
      <c r="I12" s="359"/>
      <c r="J12" s="360"/>
      <c r="K12" s="360"/>
      <c r="L12" s="360"/>
      <c r="M12" s="360"/>
      <c r="N12" s="394">
        <f t="shared" si="1"/>
        <v>0</v>
      </c>
      <c r="O12" s="395" t="e">
        <f t="shared" si="2"/>
        <v>#DIV/0!</v>
      </c>
      <c r="P12" s="396"/>
      <c r="Q12" s="397"/>
    </row>
    <row r="13" spans="1:17" ht="34.5" customHeight="1" x14ac:dyDescent="0.3">
      <c r="A13" s="329"/>
      <c r="B13" s="715"/>
      <c r="C13" s="727"/>
      <c r="D13" s="731"/>
      <c r="E13" s="450" t="s">
        <v>158</v>
      </c>
      <c r="F13" s="398"/>
      <c r="G13" s="457" t="s">
        <v>156</v>
      </c>
      <c r="H13" s="358">
        <v>0.1</v>
      </c>
      <c r="I13" s="399"/>
      <c r="J13" s="371"/>
      <c r="K13" s="371"/>
      <c r="L13" s="371"/>
      <c r="M13" s="371"/>
      <c r="N13" s="400"/>
      <c r="O13" s="401"/>
      <c r="P13" s="396"/>
      <c r="Q13" s="402"/>
    </row>
    <row r="14" spans="1:17" ht="63.75" customHeight="1" thickBot="1" x14ac:dyDescent="0.35">
      <c r="A14" s="329"/>
      <c r="B14" s="715"/>
      <c r="C14" s="727"/>
      <c r="D14" s="732"/>
      <c r="E14" s="403" t="s">
        <v>159</v>
      </c>
      <c r="F14" s="386"/>
      <c r="G14" s="456" t="s">
        <v>160</v>
      </c>
      <c r="H14" s="387">
        <v>0.05</v>
      </c>
      <c r="I14" s="388"/>
      <c r="J14" s="389"/>
      <c r="K14" s="389"/>
      <c r="L14" s="389"/>
      <c r="M14" s="389"/>
      <c r="N14" s="390">
        <f t="shared" si="1"/>
        <v>0</v>
      </c>
      <c r="O14" s="391" t="e">
        <f t="shared" si="2"/>
        <v>#DIV/0!</v>
      </c>
      <c r="P14" s="392"/>
      <c r="Q14" s="393"/>
    </row>
    <row r="15" spans="1:17" ht="54" customHeight="1" x14ac:dyDescent="0.3">
      <c r="A15" s="329"/>
      <c r="B15" s="715"/>
      <c r="C15" s="727"/>
      <c r="D15" s="733" t="s">
        <v>161</v>
      </c>
      <c r="E15" s="451" t="s">
        <v>162</v>
      </c>
      <c r="F15" s="349"/>
      <c r="G15" s="452" t="s">
        <v>163</v>
      </c>
      <c r="H15" s="350">
        <v>0.1</v>
      </c>
      <c r="I15" s="351"/>
      <c r="J15" s="352"/>
      <c r="K15" s="352"/>
      <c r="L15" s="352"/>
      <c r="M15" s="352"/>
      <c r="N15" s="382"/>
      <c r="O15" s="383"/>
      <c r="P15" s="404"/>
      <c r="Q15" s="405"/>
    </row>
    <row r="16" spans="1:17" ht="59.1" customHeight="1" x14ac:dyDescent="0.3">
      <c r="A16" s="329"/>
      <c r="B16" s="715"/>
      <c r="C16" s="727"/>
      <c r="D16" s="734"/>
      <c r="E16" s="447" t="s">
        <v>164</v>
      </c>
      <c r="F16" s="357"/>
      <c r="G16" s="453" t="s">
        <v>165</v>
      </c>
      <c r="H16" s="366">
        <v>0.1</v>
      </c>
      <c r="I16" s="359"/>
      <c r="J16" s="360"/>
      <c r="K16" s="360"/>
      <c r="L16" s="360"/>
      <c r="M16" s="360"/>
      <c r="N16" s="394"/>
      <c r="O16" s="395"/>
      <c r="P16" s="396"/>
      <c r="Q16" s="402"/>
    </row>
    <row r="17" spans="1:17" ht="52.5" customHeight="1" thickBot="1" x14ac:dyDescent="0.35">
      <c r="A17" s="329"/>
      <c r="B17" s="715"/>
      <c r="C17" s="727"/>
      <c r="D17" s="735"/>
      <c r="E17" s="403" t="s">
        <v>166</v>
      </c>
      <c r="F17" s="386"/>
      <c r="G17" s="456" t="s">
        <v>167</v>
      </c>
      <c r="H17" s="387">
        <v>0.1</v>
      </c>
      <c r="I17" s="388"/>
      <c r="J17" s="389"/>
      <c r="K17" s="389"/>
      <c r="L17" s="389"/>
      <c r="M17" s="389"/>
      <c r="N17" s="390"/>
      <c r="O17" s="391"/>
      <c r="P17" s="392"/>
      <c r="Q17" s="393"/>
    </row>
    <row r="18" spans="1:17" ht="54" customHeight="1" x14ac:dyDescent="0.3">
      <c r="A18" s="329"/>
      <c r="B18" s="715"/>
      <c r="C18" s="727"/>
      <c r="D18" s="736" t="s">
        <v>168</v>
      </c>
      <c r="E18" s="446" t="s">
        <v>169</v>
      </c>
      <c r="F18" s="349"/>
      <c r="G18" s="452" t="s">
        <v>170</v>
      </c>
      <c r="H18" s="350">
        <v>0.05</v>
      </c>
      <c r="I18" s="351"/>
      <c r="J18" s="352"/>
      <c r="K18" s="352"/>
      <c r="L18" s="352"/>
      <c r="M18" s="352"/>
      <c r="N18" s="382"/>
      <c r="O18" s="383"/>
      <c r="P18" s="404"/>
      <c r="Q18" s="405"/>
    </row>
    <row r="19" spans="1:17" ht="42.75" customHeight="1" x14ac:dyDescent="0.3">
      <c r="A19" s="329"/>
      <c r="B19" s="715"/>
      <c r="C19" s="727"/>
      <c r="D19" s="737"/>
      <c r="E19" s="448" t="s">
        <v>171</v>
      </c>
      <c r="F19" s="406"/>
      <c r="G19" s="453" t="s">
        <v>172</v>
      </c>
      <c r="H19" s="366">
        <v>0.05</v>
      </c>
      <c r="I19" s="359"/>
      <c r="J19" s="360"/>
      <c r="K19" s="360"/>
      <c r="L19" s="360"/>
      <c r="M19" s="360"/>
      <c r="N19" s="394"/>
      <c r="O19" s="395"/>
      <c r="P19" s="396"/>
      <c r="Q19" s="402"/>
    </row>
    <row r="20" spans="1:17" ht="70.5" customHeight="1" thickBot="1" x14ac:dyDescent="0.35">
      <c r="A20" s="329"/>
      <c r="B20" s="715"/>
      <c r="C20" s="727"/>
      <c r="D20" s="738"/>
      <c r="E20" s="403" t="s">
        <v>173</v>
      </c>
      <c r="F20" s="386"/>
      <c r="G20" s="458" t="s">
        <v>174</v>
      </c>
      <c r="H20" s="387">
        <v>0.05</v>
      </c>
      <c r="I20" s="388"/>
      <c r="J20" s="389">
        <v>5</v>
      </c>
      <c r="K20" s="389">
        <v>5</v>
      </c>
      <c r="L20" s="389">
        <v>5</v>
      </c>
      <c r="M20" s="389">
        <v>5</v>
      </c>
      <c r="N20" s="390">
        <f t="shared" si="1"/>
        <v>20</v>
      </c>
      <c r="O20" s="391" t="e">
        <f>(N20/I20)*H18*$C$9</f>
        <v>#DIV/0!</v>
      </c>
      <c r="P20" s="392"/>
      <c r="Q20" s="393"/>
    </row>
    <row r="21" spans="1:17" ht="22.5" customHeight="1" thickBot="1" x14ac:dyDescent="0.35">
      <c r="A21" s="329"/>
      <c r="B21" s="716"/>
      <c r="C21" s="727"/>
      <c r="D21" s="407"/>
      <c r="E21" s="375"/>
      <c r="F21" s="376"/>
      <c r="G21" s="408"/>
      <c r="H21" s="377">
        <f>SUM(H9:H20)</f>
        <v>1</v>
      </c>
      <c r="I21" s="409"/>
      <c r="J21" s="410"/>
      <c r="K21" s="410"/>
      <c r="L21" s="739" t="s">
        <v>100</v>
      </c>
      <c r="M21" s="739"/>
      <c r="N21" s="739"/>
      <c r="O21" s="411" t="e">
        <f>SUM(O9:O20)</f>
        <v>#DIV/0!</v>
      </c>
      <c r="P21" s="412"/>
      <c r="Q21" s="413"/>
    </row>
    <row r="22" spans="1:17" s="423" customFormat="1" x14ac:dyDescent="0.3">
      <c r="A22" s="414"/>
      <c r="B22" s="415" t="s">
        <v>175</v>
      </c>
      <c r="C22" s="416">
        <f>SUM(C3:C21)</f>
        <v>1</v>
      </c>
      <c r="D22" s="417" t="s">
        <v>101</v>
      </c>
      <c r="E22" s="418"/>
      <c r="F22" s="419"/>
      <c r="G22" s="420"/>
      <c r="H22" s="421"/>
      <c r="I22" s="420"/>
      <c r="J22" s="421"/>
      <c r="K22" s="421"/>
      <c r="L22" s="421"/>
      <c r="M22" s="421"/>
      <c r="N22" s="421"/>
      <c r="O22" s="422" t="e">
        <f>#REF!+O8+O21</f>
        <v>#REF!</v>
      </c>
      <c r="P22" s="421"/>
      <c r="Q22" s="421"/>
    </row>
    <row r="23" spans="1:17" ht="13.8" thickBot="1" x14ac:dyDescent="0.35">
      <c r="A23" s="329"/>
      <c r="B23" s="329"/>
      <c r="C23" s="424"/>
      <c r="D23" s="330"/>
      <c r="E23" s="425"/>
      <c r="F23" s="426"/>
      <c r="G23" s="426"/>
      <c r="H23" s="424"/>
      <c r="I23" s="424"/>
      <c r="J23" s="424"/>
      <c r="K23" s="424"/>
      <c r="L23" s="424"/>
      <c r="M23" s="424"/>
      <c r="N23" s="424"/>
      <c r="O23" s="424"/>
      <c r="P23" s="424"/>
      <c r="Q23" s="427"/>
    </row>
    <row r="24" spans="1:17" ht="13.8" thickBot="1" x14ac:dyDescent="0.35">
      <c r="A24" s="329"/>
      <c r="B24" s="329"/>
      <c r="C24" s="464" t="s">
        <v>102</v>
      </c>
      <c r="D24" s="459"/>
      <c r="E24" s="460"/>
      <c r="F24" s="461"/>
      <c r="G24" s="461" t="s">
        <v>103</v>
      </c>
      <c r="H24" s="424"/>
      <c r="I24" s="424"/>
      <c r="J24" s="424"/>
      <c r="K24" s="424"/>
      <c r="L24" s="424"/>
      <c r="M24" s="424"/>
      <c r="N24" s="424"/>
      <c r="O24" s="424"/>
      <c r="P24" s="424"/>
      <c r="Q24" s="427"/>
    </row>
    <row r="25" spans="1:17" ht="13.8" thickBot="1" x14ac:dyDescent="0.35">
      <c r="A25" s="329"/>
      <c r="B25" s="329"/>
      <c r="C25" s="465" t="s">
        <v>104</v>
      </c>
      <c r="D25" s="466" t="s">
        <v>105</v>
      </c>
      <c r="E25" s="466" t="s">
        <v>106</v>
      </c>
      <c r="F25" s="462"/>
      <c r="G25" s="708"/>
      <c r="H25" s="709"/>
      <c r="I25" s="709"/>
      <c r="J25" s="709"/>
      <c r="K25" s="709"/>
      <c r="L25" s="709"/>
      <c r="M25" s="709"/>
      <c r="N25" s="709"/>
      <c r="O25" s="709"/>
      <c r="P25" s="709"/>
      <c r="Q25" s="710"/>
    </row>
    <row r="26" spans="1:17" ht="13.8" thickBot="1" x14ac:dyDescent="0.35">
      <c r="A26" s="329"/>
      <c r="B26" s="329"/>
      <c r="C26" s="465" t="s">
        <v>107</v>
      </c>
      <c r="D26" s="467" t="s">
        <v>108</v>
      </c>
      <c r="E26" s="468">
        <v>6</v>
      </c>
      <c r="F26" s="463"/>
      <c r="G26" s="711"/>
      <c r="H26" s="712"/>
      <c r="I26" s="712"/>
      <c r="J26" s="712"/>
      <c r="K26" s="712"/>
      <c r="L26" s="712"/>
      <c r="M26" s="712"/>
      <c r="N26" s="712"/>
      <c r="O26" s="712"/>
      <c r="P26" s="712"/>
      <c r="Q26" s="713"/>
    </row>
    <row r="27" spans="1:17" ht="13.8" thickBot="1" x14ac:dyDescent="0.35">
      <c r="A27" s="329"/>
      <c r="B27" s="329"/>
      <c r="C27" s="465" t="s">
        <v>109</v>
      </c>
      <c r="D27" s="467" t="s">
        <v>110</v>
      </c>
      <c r="E27" s="468">
        <v>5</v>
      </c>
      <c r="F27" s="463"/>
      <c r="G27" s="463"/>
      <c r="H27" s="424"/>
      <c r="I27" s="424"/>
      <c r="J27" s="424"/>
      <c r="K27" s="424"/>
      <c r="L27" s="424"/>
      <c r="M27" s="424"/>
      <c r="N27" s="424"/>
      <c r="O27" s="424"/>
      <c r="P27" s="424"/>
      <c r="Q27" s="427"/>
    </row>
    <row r="28" spans="1:17" ht="13.8" thickBot="1" x14ac:dyDescent="0.35">
      <c r="A28" s="329"/>
      <c r="B28" s="329"/>
      <c r="C28" s="465" t="s">
        <v>111</v>
      </c>
      <c r="D28" s="467" t="s">
        <v>112</v>
      </c>
      <c r="E28" s="468">
        <v>4</v>
      </c>
      <c r="F28" s="463"/>
      <c r="G28" s="461" t="s">
        <v>113</v>
      </c>
      <c r="H28" s="424"/>
      <c r="I28" s="424"/>
      <c r="J28" s="424"/>
      <c r="K28" s="424"/>
      <c r="L28" s="424"/>
      <c r="M28" s="424"/>
      <c r="N28" s="424"/>
      <c r="O28" s="424"/>
      <c r="P28" s="424"/>
      <c r="Q28" s="427"/>
    </row>
    <row r="29" spans="1:17" ht="13.8" thickBot="1" x14ac:dyDescent="0.35">
      <c r="A29" s="329"/>
      <c r="B29" s="329"/>
      <c r="C29" s="465" t="s">
        <v>114</v>
      </c>
      <c r="D29" s="467" t="s">
        <v>115</v>
      </c>
      <c r="E29" s="468">
        <v>3</v>
      </c>
      <c r="F29" s="463"/>
      <c r="G29" s="696"/>
      <c r="H29" s="697"/>
      <c r="I29" s="697"/>
      <c r="J29" s="697"/>
      <c r="K29" s="697"/>
      <c r="L29" s="697"/>
      <c r="M29" s="697"/>
      <c r="N29" s="697"/>
      <c r="O29" s="697"/>
      <c r="P29" s="697"/>
      <c r="Q29" s="698"/>
    </row>
    <row r="30" spans="1:17" ht="13.8" thickBot="1" x14ac:dyDescent="0.35">
      <c r="A30" s="329"/>
      <c r="B30" s="329"/>
      <c r="C30" s="465" t="s">
        <v>116</v>
      </c>
      <c r="D30" s="467" t="s">
        <v>117</v>
      </c>
      <c r="E30" s="468">
        <v>2</v>
      </c>
      <c r="F30" s="463"/>
      <c r="G30" s="699"/>
      <c r="H30" s="700"/>
      <c r="I30" s="700"/>
      <c r="J30" s="700"/>
      <c r="K30" s="700"/>
      <c r="L30" s="700"/>
      <c r="M30" s="700"/>
      <c r="N30" s="700"/>
      <c r="O30" s="700"/>
      <c r="P30" s="700"/>
      <c r="Q30" s="701"/>
    </row>
    <row r="31" spans="1:17" ht="13.8" thickBot="1" x14ac:dyDescent="0.35">
      <c r="A31" s="329"/>
      <c r="B31" s="329"/>
      <c r="C31" s="467" t="s">
        <v>118</v>
      </c>
      <c r="D31" s="467" t="s">
        <v>119</v>
      </c>
      <c r="E31" s="468">
        <v>1</v>
      </c>
      <c r="F31" s="463"/>
      <c r="G31" s="702"/>
      <c r="H31" s="703"/>
      <c r="I31" s="703"/>
      <c r="J31" s="703"/>
      <c r="K31" s="703"/>
      <c r="L31" s="703"/>
      <c r="M31" s="703"/>
      <c r="N31" s="703"/>
      <c r="O31" s="703"/>
      <c r="P31" s="703"/>
      <c r="Q31" s="704"/>
    </row>
    <row r="32" spans="1:17" x14ac:dyDescent="0.3">
      <c r="A32" s="329"/>
      <c r="B32" s="329"/>
      <c r="C32" s="424"/>
      <c r="D32" s="432"/>
      <c r="E32" s="331"/>
      <c r="F32" s="331"/>
      <c r="G32" s="331"/>
      <c r="H32" s="424"/>
      <c r="I32" s="424"/>
      <c r="J32" s="424"/>
      <c r="K32" s="424"/>
      <c r="L32" s="424"/>
      <c r="M32" s="424"/>
      <c r="N32" s="424"/>
      <c r="O32" s="424"/>
      <c r="P32" s="424"/>
      <c r="Q32" s="427"/>
    </row>
    <row r="33" spans="1:17" x14ac:dyDescent="0.3">
      <c r="A33" s="329"/>
      <c r="B33" s="329"/>
      <c r="C33" s="424"/>
      <c r="D33" s="330"/>
      <c r="H33" s="424"/>
      <c r="I33" s="424"/>
      <c r="J33" s="424"/>
      <c r="K33" s="424"/>
      <c r="L33" s="424"/>
      <c r="M33" s="424"/>
      <c r="N33" s="424"/>
      <c r="O33" s="424"/>
      <c r="P33" s="424"/>
      <c r="Q33" s="427"/>
    </row>
    <row r="34" spans="1:17" x14ac:dyDescent="0.3">
      <c r="A34" s="329"/>
      <c r="B34" s="329"/>
      <c r="C34" s="429" t="s">
        <v>120</v>
      </c>
      <c r="D34" s="430"/>
      <c r="E34" s="431"/>
      <c r="F34" s="431"/>
      <c r="G34" s="431"/>
      <c r="H34" s="424"/>
      <c r="I34" s="432"/>
      <c r="J34" s="424"/>
      <c r="K34" s="424"/>
      <c r="L34" s="424"/>
      <c r="M34" s="424"/>
      <c r="N34" s="424"/>
      <c r="O34" s="424"/>
      <c r="P34" s="424"/>
      <c r="Q34" s="424"/>
    </row>
    <row r="35" spans="1:17" x14ac:dyDescent="0.3">
      <c r="A35" s="329"/>
      <c r="B35" s="329"/>
      <c r="C35" s="429"/>
      <c r="D35" s="430"/>
      <c r="E35" s="431"/>
      <c r="F35" s="431"/>
      <c r="G35" s="431"/>
      <c r="H35" s="424"/>
      <c r="I35" s="432"/>
      <c r="J35" s="424"/>
      <c r="K35" s="424"/>
      <c r="L35" s="424"/>
      <c r="M35" s="424"/>
      <c r="N35" s="424"/>
      <c r="O35" s="424"/>
      <c r="P35" s="424"/>
      <c r="Q35" s="424"/>
    </row>
    <row r="36" spans="1:17" x14ac:dyDescent="0.3">
      <c r="A36" s="329"/>
      <c r="B36" s="329"/>
      <c r="C36" s="432"/>
      <c r="D36" s="330"/>
      <c r="E36" s="430"/>
      <c r="F36" s="430"/>
      <c r="G36" s="430"/>
      <c r="H36" s="424"/>
      <c r="I36" s="432"/>
      <c r="J36" s="424"/>
      <c r="K36" s="424"/>
      <c r="L36" s="424"/>
      <c r="M36" s="424"/>
      <c r="N36" s="424"/>
      <c r="O36" s="424"/>
      <c r="P36" s="424"/>
      <c r="Q36" s="424"/>
    </row>
    <row r="37" spans="1:17" x14ac:dyDescent="0.3">
      <c r="A37" s="329"/>
      <c r="B37" s="329"/>
      <c r="C37" s="433" t="s">
        <v>121</v>
      </c>
      <c r="D37" s="434"/>
      <c r="E37" s="430"/>
      <c r="F37" s="430"/>
      <c r="G37" s="430"/>
      <c r="H37" s="424"/>
      <c r="I37" s="435"/>
      <c r="J37" s="424"/>
      <c r="K37" s="424"/>
      <c r="L37" s="424"/>
      <c r="M37" s="424"/>
      <c r="N37" s="424"/>
      <c r="O37" s="424"/>
      <c r="P37" s="424"/>
      <c r="Q37" s="424"/>
    </row>
    <row r="38" spans="1:17" x14ac:dyDescent="0.3">
      <c r="A38" s="329"/>
      <c r="B38" s="329"/>
      <c r="C38" s="432"/>
      <c r="D38" s="330"/>
      <c r="E38" s="330"/>
      <c r="F38" s="330"/>
      <c r="G38" s="330"/>
      <c r="H38" s="424"/>
      <c r="I38" s="432"/>
      <c r="J38" s="424"/>
      <c r="K38" s="424"/>
      <c r="L38" s="424"/>
      <c r="M38" s="424"/>
      <c r="N38" s="424"/>
      <c r="O38" s="424"/>
      <c r="P38" s="424"/>
      <c r="Q38" s="424"/>
    </row>
    <row r="39" spans="1:17" x14ac:dyDescent="0.3">
      <c r="A39" s="329"/>
      <c r="B39" s="329"/>
      <c r="C39" s="424"/>
      <c r="D39" s="330"/>
      <c r="E39" s="434"/>
      <c r="F39" s="434"/>
      <c r="G39" s="434"/>
      <c r="H39" s="424"/>
      <c r="I39" s="424"/>
      <c r="J39" s="424"/>
      <c r="K39" s="424"/>
      <c r="L39" s="424"/>
      <c r="M39" s="424"/>
      <c r="N39" s="424"/>
      <c r="O39" s="424"/>
      <c r="P39" s="424"/>
      <c r="Q39" s="427"/>
    </row>
    <row r="40" spans="1:17" x14ac:dyDescent="0.3">
      <c r="E40" s="330"/>
      <c r="F40" s="330"/>
      <c r="G40" s="330"/>
    </row>
    <row r="41" spans="1:17" x14ac:dyDescent="0.3">
      <c r="E41" s="431"/>
      <c r="F41" s="431"/>
      <c r="G41" s="431"/>
    </row>
  </sheetData>
  <mergeCells count="14">
    <mergeCell ref="G29:Q31"/>
    <mergeCell ref="E1:P1"/>
    <mergeCell ref="G25:Q26"/>
    <mergeCell ref="B4:B8"/>
    <mergeCell ref="C4:C8"/>
    <mergeCell ref="D4:D8"/>
    <mergeCell ref="L8:N8"/>
    <mergeCell ref="B9:B21"/>
    <mergeCell ref="C9:C21"/>
    <mergeCell ref="D9:D10"/>
    <mergeCell ref="D11:D14"/>
    <mergeCell ref="D15:D17"/>
    <mergeCell ref="D18:D20"/>
    <mergeCell ref="L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5E84-3974-40E8-9D0C-72E46E0C86B0}">
  <dimension ref="A1:EP37"/>
  <sheetViews>
    <sheetView zoomScale="80" zoomScaleNormal="8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ColWidth="9.109375" defaultRowHeight="15" x14ac:dyDescent="0.3"/>
  <cols>
    <col min="1" max="1" width="2.77734375" style="6" customWidth="1"/>
    <col min="2" max="2" width="8.21875" style="6" customWidth="1"/>
    <col min="3" max="3" width="15.44140625" style="6" customWidth="1"/>
    <col min="4" max="4" width="49.21875" style="58" customWidth="1"/>
    <col min="5" max="5" width="36.6640625" style="58" customWidth="1"/>
    <col min="6" max="6" width="40.44140625" style="58" customWidth="1"/>
    <col min="7" max="7" width="12.33203125" style="58" customWidth="1"/>
    <col min="8" max="8" width="11.44140625" style="66" customWidth="1"/>
    <col min="9" max="9" width="12.33203125" style="6" customWidth="1"/>
    <col min="10" max="10" width="11.44140625" style="66" customWidth="1"/>
    <col min="11" max="11" width="12.6640625" style="66" customWidth="1"/>
    <col min="12" max="12" width="12" style="66" customWidth="1"/>
    <col min="13" max="13" width="11.44140625" style="66" customWidth="1"/>
    <col min="14" max="14" width="10.77734375" style="66" customWidth="1"/>
    <col min="15" max="15" width="21.21875" style="66" customWidth="1"/>
    <col min="16" max="16" width="10.21875" style="66" hidden="1" customWidth="1"/>
    <col min="17" max="17" width="14.109375" style="66" hidden="1" customWidth="1"/>
    <col min="18" max="16384" width="9.109375" style="6"/>
  </cols>
  <sheetData>
    <row r="1" spans="1:146" s="500" customFormat="1" ht="63" customHeight="1" x14ac:dyDescent="0.25">
      <c r="A1" s="493"/>
      <c r="B1" s="494" t="s">
        <v>125</v>
      </c>
      <c r="C1" s="495" t="s">
        <v>126</v>
      </c>
      <c r="D1" s="244" t="s">
        <v>176</v>
      </c>
      <c r="E1" s="496" t="s">
        <v>128</v>
      </c>
      <c r="F1" s="495" t="s">
        <v>129</v>
      </c>
      <c r="G1" s="495" t="s">
        <v>130</v>
      </c>
      <c r="H1" s="497" t="s">
        <v>4</v>
      </c>
      <c r="I1" s="497" t="s">
        <v>68</v>
      </c>
      <c r="J1" s="495" t="s">
        <v>131</v>
      </c>
      <c r="K1" s="495" t="s">
        <v>132</v>
      </c>
      <c r="L1" s="495" t="s">
        <v>133</v>
      </c>
      <c r="M1" s="495" t="s">
        <v>134</v>
      </c>
      <c r="N1" s="498" t="s">
        <v>135</v>
      </c>
      <c r="O1" s="498" t="s">
        <v>74</v>
      </c>
      <c r="P1" s="499"/>
      <c r="Q1" s="499"/>
    </row>
    <row r="2" spans="1:146" ht="61.5" customHeight="1" x14ac:dyDescent="0.25">
      <c r="A2" s="224"/>
      <c r="B2" s="779" t="s">
        <v>177</v>
      </c>
      <c r="C2" s="781">
        <v>0.1</v>
      </c>
      <c r="D2" s="783" t="s">
        <v>178</v>
      </c>
      <c r="E2" s="784" t="s">
        <v>179</v>
      </c>
      <c r="F2" s="786" t="s">
        <v>180</v>
      </c>
      <c r="G2" s="777" t="s">
        <v>181</v>
      </c>
      <c r="H2" s="350">
        <v>1</v>
      </c>
      <c r="I2" s="351"/>
      <c r="J2" s="568"/>
      <c r="K2" s="568"/>
      <c r="L2" s="568"/>
      <c r="M2" s="568"/>
      <c r="N2" s="569"/>
      <c r="O2" s="570"/>
      <c r="P2" s="571"/>
      <c r="Q2" s="572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</row>
    <row r="3" spans="1:146" ht="14.25" customHeight="1" x14ac:dyDescent="0.25">
      <c r="A3" s="225"/>
      <c r="B3" s="780"/>
      <c r="C3" s="782"/>
      <c r="D3" s="783"/>
      <c r="E3" s="785"/>
      <c r="F3" s="787"/>
      <c r="G3" s="778"/>
      <c r="H3" s="573">
        <f>SUM(H2:H2)</f>
        <v>1</v>
      </c>
      <c r="I3" s="573"/>
      <c r="J3" s="573"/>
      <c r="K3" s="573"/>
      <c r="L3" s="573"/>
      <c r="M3" s="573"/>
      <c r="N3" s="573"/>
      <c r="O3" s="573"/>
      <c r="P3" s="574"/>
      <c r="Q3" s="575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</row>
    <row r="4" spans="1:146" s="222" customFormat="1" ht="85.5" customHeight="1" x14ac:dyDescent="0.25">
      <c r="A4" s="226"/>
      <c r="B4" s="758" t="s">
        <v>182</v>
      </c>
      <c r="C4" s="762">
        <v>0.7</v>
      </c>
      <c r="D4" s="731" t="s">
        <v>183</v>
      </c>
      <c r="E4" s="576" t="s">
        <v>184</v>
      </c>
      <c r="F4" s="376" t="s">
        <v>185</v>
      </c>
      <c r="G4" s="342" t="s">
        <v>141</v>
      </c>
      <c r="H4" s="577">
        <v>0.1</v>
      </c>
      <c r="I4" s="578"/>
      <c r="J4" s="579"/>
      <c r="K4" s="579"/>
      <c r="L4" s="579"/>
      <c r="M4" s="579"/>
      <c r="N4" s="580"/>
      <c r="O4" s="581"/>
      <c r="P4" s="582"/>
      <c r="Q4" s="583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</row>
    <row r="5" spans="1:146" ht="83.25" customHeight="1" x14ac:dyDescent="0.25">
      <c r="A5" s="227"/>
      <c r="B5" s="759"/>
      <c r="C5" s="763"/>
      <c r="D5" s="731"/>
      <c r="E5" s="584" t="s">
        <v>186</v>
      </c>
      <c r="F5" s="365" t="s">
        <v>187</v>
      </c>
      <c r="G5" s="585" t="s">
        <v>188</v>
      </c>
      <c r="H5" s="586">
        <v>0.15</v>
      </c>
      <c r="I5" s="587"/>
      <c r="J5" s="588"/>
      <c r="K5" s="588"/>
      <c r="L5" s="588"/>
      <c r="M5" s="588"/>
      <c r="N5" s="589"/>
      <c r="O5" s="590"/>
      <c r="P5" s="591"/>
      <c r="Q5" s="592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</row>
    <row r="6" spans="1:146" ht="86.25" customHeight="1" x14ac:dyDescent="0.25">
      <c r="A6" s="228"/>
      <c r="B6" s="759"/>
      <c r="C6" s="763"/>
      <c r="D6" s="731"/>
      <c r="E6" s="593" t="s">
        <v>189</v>
      </c>
      <c r="F6" s="584" t="s">
        <v>190</v>
      </c>
      <c r="G6" s="594" t="s">
        <v>191</v>
      </c>
      <c r="H6" s="366">
        <v>0.1</v>
      </c>
      <c r="I6" s="359"/>
      <c r="J6" s="360"/>
      <c r="K6" s="360"/>
      <c r="L6" s="360"/>
      <c r="M6" s="360"/>
      <c r="N6" s="361"/>
      <c r="O6" s="595"/>
      <c r="P6" s="596"/>
      <c r="Q6" s="363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</row>
    <row r="7" spans="1:146" ht="75" customHeight="1" x14ac:dyDescent="0.25">
      <c r="A7" s="228"/>
      <c r="B7" s="759"/>
      <c r="C7" s="763"/>
      <c r="D7" s="731"/>
      <c r="E7" s="584" t="s">
        <v>192</v>
      </c>
      <c r="F7" s="584" t="s">
        <v>193</v>
      </c>
      <c r="G7" s="594" t="s">
        <v>141</v>
      </c>
      <c r="H7" s="366">
        <v>0.15</v>
      </c>
      <c r="I7" s="359"/>
      <c r="J7" s="360"/>
      <c r="K7" s="360"/>
      <c r="L7" s="360"/>
      <c r="M7" s="360"/>
      <c r="N7" s="361"/>
      <c r="O7" s="595"/>
      <c r="P7" s="596"/>
      <c r="Q7" s="363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</row>
    <row r="8" spans="1:146" ht="48.75" customHeight="1" x14ac:dyDescent="0.25">
      <c r="A8" s="228"/>
      <c r="B8" s="759"/>
      <c r="C8" s="763"/>
      <c r="D8" s="731"/>
      <c r="E8" s="584" t="s">
        <v>194</v>
      </c>
      <c r="F8" s="584" t="s">
        <v>195</v>
      </c>
      <c r="G8" s="594" t="s">
        <v>141</v>
      </c>
      <c r="H8" s="366">
        <v>0.1</v>
      </c>
      <c r="I8" s="359"/>
      <c r="J8" s="360"/>
      <c r="K8" s="360"/>
      <c r="L8" s="360"/>
      <c r="M8" s="360"/>
      <c r="N8" s="360"/>
      <c r="O8" s="595"/>
      <c r="P8" s="596"/>
      <c r="Q8" s="363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</row>
    <row r="9" spans="1:146" ht="90.75" customHeight="1" x14ac:dyDescent="0.25">
      <c r="A9" s="228"/>
      <c r="B9" s="759"/>
      <c r="C9" s="763"/>
      <c r="D9" s="732"/>
      <c r="E9" s="584" t="s">
        <v>196</v>
      </c>
      <c r="F9" s="597" t="s">
        <v>197</v>
      </c>
      <c r="G9" s="598" t="s">
        <v>141</v>
      </c>
      <c r="H9" s="387">
        <v>0.1</v>
      </c>
      <c r="I9" s="388"/>
      <c r="J9" s="389"/>
      <c r="K9" s="389"/>
      <c r="L9" s="389"/>
      <c r="M9" s="389"/>
      <c r="N9" s="599"/>
      <c r="O9" s="600"/>
      <c r="P9" s="596"/>
      <c r="Q9" s="363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</row>
    <row r="10" spans="1:146" ht="83.25" customHeight="1" x14ac:dyDescent="0.25">
      <c r="A10" s="228"/>
      <c r="B10" s="759"/>
      <c r="C10" s="763"/>
      <c r="D10" s="766" t="s">
        <v>198</v>
      </c>
      <c r="E10" s="601" t="s">
        <v>199</v>
      </c>
      <c r="F10" s="602" t="s">
        <v>200</v>
      </c>
      <c r="G10" s="603" t="s">
        <v>201</v>
      </c>
      <c r="H10" s="350">
        <v>0.2</v>
      </c>
      <c r="I10" s="351"/>
      <c r="J10" s="352"/>
      <c r="K10" s="352"/>
      <c r="L10" s="352"/>
      <c r="M10" s="352"/>
      <c r="N10" s="353"/>
      <c r="O10" s="604"/>
      <c r="P10" s="596"/>
      <c r="Q10" s="363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</row>
    <row r="11" spans="1:146" ht="90.9" customHeight="1" x14ac:dyDescent="0.25">
      <c r="A11" s="229"/>
      <c r="B11" s="760"/>
      <c r="C11" s="764"/>
      <c r="D11" s="767"/>
      <c r="E11" s="597" t="s">
        <v>202</v>
      </c>
      <c r="F11" s="597" t="s">
        <v>203</v>
      </c>
      <c r="G11" s="605"/>
      <c r="H11" s="368">
        <v>0.1</v>
      </c>
      <c r="I11" s="369"/>
      <c r="J11" s="370"/>
      <c r="K11" s="370"/>
      <c r="L11" s="370"/>
      <c r="M11" s="370"/>
      <c r="N11" s="606"/>
      <c r="O11" s="607"/>
      <c r="P11" s="608"/>
      <c r="Q11" s="609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</row>
    <row r="12" spans="1:146" ht="27" customHeight="1" x14ac:dyDescent="0.25">
      <c r="A12" s="229"/>
      <c r="B12" s="761"/>
      <c r="C12" s="765"/>
      <c r="D12" s="768"/>
      <c r="E12" s="331"/>
      <c r="F12" s="331"/>
      <c r="G12" s="610"/>
      <c r="H12" s="611">
        <f>SUM(H4:H11)</f>
        <v>0.99999999999999989</v>
      </c>
      <c r="I12" s="411"/>
      <c r="J12" s="411"/>
      <c r="K12" s="411"/>
      <c r="L12" s="411"/>
      <c r="M12" s="411"/>
      <c r="N12" s="411"/>
      <c r="O12" s="411"/>
      <c r="P12" s="612"/>
      <c r="Q12" s="613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</row>
    <row r="13" spans="1:146" s="222" customFormat="1" ht="81" customHeight="1" x14ac:dyDescent="0.25">
      <c r="A13" s="223"/>
      <c r="B13" s="769" t="s">
        <v>204</v>
      </c>
      <c r="C13" s="772">
        <v>0.2</v>
      </c>
      <c r="D13" s="614" t="s">
        <v>205</v>
      </c>
      <c r="E13" s="615" t="s">
        <v>206</v>
      </c>
      <c r="F13" s="408" t="s">
        <v>207</v>
      </c>
      <c r="G13" s="342" t="s">
        <v>141</v>
      </c>
      <c r="H13" s="577">
        <v>0.3</v>
      </c>
      <c r="I13" s="578"/>
      <c r="J13" s="579"/>
      <c r="K13" s="579"/>
      <c r="L13" s="579"/>
      <c r="M13" s="579"/>
      <c r="N13" s="616"/>
      <c r="O13" s="617"/>
      <c r="P13" s="618"/>
      <c r="Q13" s="619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</row>
    <row r="14" spans="1:146" ht="87.75" customHeight="1" x14ac:dyDescent="0.25">
      <c r="A14" s="230"/>
      <c r="B14" s="770"/>
      <c r="C14" s="727"/>
      <c r="D14" s="774" t="s">
        <v>208</v>
      </c>
      <c r="E14" s="620" t="s">
        <v>209</v>
      </c>
      <c r="F14" s="621" t="s">
        <v>210</v>
      </c>
      <c r="G14" s="585"/>
      <c r="H14" s="586">
        <v>0.2</v>
      </c>
      <c r="I14" s="587"/>
      <c r="J14" s="588"/>
      <c r="K14" s="588"/>
      <c r="L14" s="588"/>
      <c r="M14" s="588"/>
      <c r="N14" s="622"/>
      <c r="O14" s="623"/>
      <c r="P14" s="624"/>
      <c r="Q14" s="625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31"/>
      <c r="CP14" s="231"/>
      <c r="CQ14" s="231"/>
      <c r="CR14" s="231"/>
      <c r="CS14" s="231"/>
      <c r="CT14" s="231"/>
      <c r="CU14" s="231"/>
      <c r="CV14" s="231"/>
      <c r="CW14" s="231"/>
      <c r="CX14" s="231"/>
      <c r="CY14" s="231"/>
      <c r="CZ14" s="231"/>
      <c r="DA14" s="231"/>
    </row>
    <row r="15" spans="1:146" ht="82.5" customHeight="1" x14ac:dyDescent="0.25">
      <c r="A15" s="230"/>
      <c r="B15" s="770"/>
      <c r="C15" s="727"/>
      <c r="D15" s="775"/>
      <c r="E15" s="584" t="s">
        <v>211</v>
      </c>
      <c r="F15" s="584" t="s">
        <v>212</v>
      </c>
      <c r="G15" s="594"/>
      <c r="H15" s="358">
        <v>0.3</v>
      </c>
      <c r="I15" s="359"/>
      <c r="J15" s="360"/>
      <c r="K15" s="360"/>
      <c r="L15" s="360"/>
      <c r="M15" s="360"/>
      <c r="N15" s="394"/>
      <c r="O15" s="626"/>
      <c r="P15" s="627"/>
      <c r="Q15" s="628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</row>
    <row r="16" spans="1:146" ht="63" customHeight="1" x14ac:dyDescent="0.25">
      <c r="A16" s="230"/>
      <c r="B16" s="770"/>
      <c r="C16" s="727"/>
      <c r="D16" s="776"/>
      <c r="E16" s="597" t="s">
        <v>213</v>
      </c>
      <c r="F16" s="597" t="s">
        <v>214</v>
      </c>
      <c r="G16" s="598"/>
      <c r="H16" s="387">
        <v>0.2</v>
      </c>
      <c r="I16" s="388"/>
      <c r="J16" s="389"/>
      <c r="K16" s="389"/>
      <c r="L16" s="389"/>
      <c r="M16" s="389"/>
      <c r="N16" s="390"/>
      <c r="O16" s="629"/>
      <c r="P16" s="630"/>
      <c r="Q16" s="631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</row>
    <row r="17" spans="1:31" x14ac:dyDescent="0.25">
      <c r="A17" s="232"/>
      <c r="B17" s="771"/>
      <c r="C17" s="773"/>
      <c r="D17" s="632"/>
      <c r="E17" s="633"/>
      <c r="F17" s="633"/>
      <c r="G17" s="633"/>
      <c r="H17" s="740">
        <f>SUM(H13:H16)</f>
        <v>1</v>
      </c>
      <c r="I17" s="741"/>
      <c r="J17" s="742"/>
      <c r="K17" s="634"/>
      <c r="L17" s="740" t="s">
        <v>100</v>
      </c>
      <c r="M17" s="741"/>
      <c r="N17" s="742"/>
      <c r="O17" s="573">
        <f>SUM(O13:O16)</f>
        <v>0</v>
      </c>
      <c r="P17" s="635"/>
      <c r="Q17" s="636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</row>
    <row r="18" spans="1:31" x14ac:dyDescent="0.25">
      <c r="A18" s="2"/>
      <c r="B18" s="637" t="s">
        <v>175</v>
      </c>
      <c r="C18" s="638">
        <f>SUM(C2:C17)</f>
        <v>1</v>
      </c>
      <c r="D18" s="639" t="s">
        <v>101</v>
      </c>
      <c r="E18" s="640"/>
      <c r="F18" s="640"/>
      <c r="G18" s="640"/>
      <c r="H18" s="641"/>
      <c r="I18" s="640"/>
      <c r="J18" s="641"/>
      <c r="K18" s="641"/>
      <c r="L18" s="641"/>
      <c r="M18" s="641"/>
      <c r="N18" s="641"/>
      <c r="O18" s="642">
        <f>O3+O12+O17</f>
        <v>0</v>
      </c>
      <c r="P18" s="641"/>
      <c r="Q18" s="641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</row>
    <row r="19" spans="1:31" x14ac:dyDescent="0.25">
      <c r="A19" s="2"/>
      <c r="B19" s="329"/>
      <c r="C19" s="424"/>
      <c r="D19" s="330"/>
      <c r="E19" s="643"/>
      <c r="F19" s="426"/>
      <c r="G19" s="426"/>
      <c r="H19" s="424"/>
      <c r="I19" s="424"/>
      <c r="J19" s="424"/>
      <c r="K19" s="424"/>
      <c r="L19" s="424"/>
      <c r="M19" s="424"/>
      <c r="N19" s="424"/>
      <c r="O19" s="424"/>
      <c r="P19" s="424"/>
      <c r="Q19" s="427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</row>
    <row r="20" spans="1:31" s="331" customFormat="1" ht="13.2" x14ac:dyDescent="0.25">
      <c r="A20" s="329"/>
      <c r="B20" s="329"/>
      <c r="C20" s="505" t="s">
        <v>102</v>
      </c>
      <c r="D20" s="506"/>
      <c r="E20" s="507"/>
      <c r="F20" s="501"/>
      <c r="G20" s="502" t="s">
        <v>103</v>
      </c>
      <c r="H20" s="424"/>
      <c r="I20" s="424"/>
      <c r="J20" s="424"/>
      <c r="K20" s="424"/>
      <c r="L20" s="424"/>
      <c r="M20" s="424"/>
      <c r="N20" s="424"/>
      <c r="O20" s="424"/>
      <c r="P20" s="424"/>
      <c r="Q20" s="427"/>
      <c r="R20" s="500"/>
      <c r="S20" s="500"/>
      <c r="T20" s="500"/>
      <c r="U20" s="500"/>
      <c r="V20" s="500"/>
      <c r="W20" s="500"/>
      <c r="X20" s="500"/>
      <c r="Y20" s="500"/>
      <c r="Z20" s="500"/>
      <c r="AA20" s="500"/>
      <c r="AB20" s="500"/>
      <c r="AC20" s="500"/>
      <c r="AD20" s="500"/>
      <c r="AE20" s="500"/>
    </row>
    <row r="21" spans="1:31" s="331" customFormat="1" ht="13.2" x14ac:dyDescent="0.25">
      <c r="A21" s="329"/>
      <c r="B21" s="329"/>
      <c r="C21" s="324" t="s">
        <v>104</v>
      </c>
      <c r="D21" s="325" t="s">
        <v>105</v>
      </c>
      <c r="E21" s="325" t="s">
        <v>106</v>
      </c>
      <c r="F21" s="503"/>
      <c r="G21" s="743"/>
      <c r="H21" s="744"/>
      <c r="I21" s="744"/>
      <c r="J21" s="744"/>
      <c r="K21" s="744"/>
      <c r="L21" s="744"/>
      <c r="M21" s="744"/>
      <c r="N21" s="744"/>
      <c r="O21" s="744"/>
      <c r="P21" s="744"/>
      <c r="Q21" s="745"/>
      <c r="R21" s="500"/>
      <c r="S21" s="500"/>
      <c r="T21" s="500"/>
      <c r="U21" s="500"/>
      <c r="V21" s="500"/>
      <c r="W21" s="500"/>
      <c r="X21" s="500"/>
      <c r="Y21" s="500"/>
      <c r="Z21" s="500"/>
      <c r="AA21" s="500"/>
      <c r="AB21" s="500"/>
      <c r="AC21" s="500"/>
      <c r="AD21" s="500"/>
      <c r="AE21" s="500"/>
    </row>
    <row r="22" spans="1:31" s="331" customFormat="1" ht="13.2" x14ac:dyDescent="0.25">
      <c r="A22" s="329"/>
      <c r="B22" s="329"/>
      <c r="C22" s="324" t="s">
        <v>107</v>
      </c>
      <c r="D22" s="326" t="s">
        <v>108</v>
      </c>
      <c r="E22" s="327">
        <v>6</v>
      </c>
      <c r="F22" s="504"/>
      <c r="G22" s="746"/>
      <c r="H22" s="747"/>
      <c r="I22" s="747"/>
      <c r="J22" s="747"/>
      <c r="K22" s="747"/>
      <c r="L22" s="747"/>
      <c r="M22" s="747"/>
      <c r="N22" s="747"/>
      <c r="O22" s="747"/>
      <c r="P22" s="747"/>
      <c r="Q22" s="748"/>
      <c r="R22" s="500"/>
      <c r="S22" s="500"/>
      <c r="T22" s="500"/>
      <c r="U22" s="500"/>
      <c r="V22" s="500"/>
      <c r="W22" s="500"/>
      <c r="X22" s="500"/>
      <c r="Y22" s="500"/>
      <c r="Z22" s="500"/>
      <c r="AA22" s="500"/>
      <c r="AB22" s="500"/>
      <c r="AC22" s="500"/>
      <c r="AD22" s="500"/>
      <c r="AE22" s="500"/>
    </row>
    <row r="23" spans="1:31" s="331" customFormat="1" ht="13.2" x14ac:dyDescent="0.25">
      <c r="A23" s="329"/>
      <c r="B23" s="329"/>
      <c r="C23" s="324" t="s">
        <v>109</v>
      </c>
      <c r="D23" s="326" t="s">
        <v>110</v>
      </c>
      <c r="E23" s="327">
        <v>5</v>
      </c>
      <c r="F23" s="504"/>
      <c r="G23" s="504"/>
      <c r="H23" s="424"/>
      <c r="I23" s="424"/>
      <c r="J23" s="424"/>
      <c r="K23" s="424"/>
      <c r="L23" s="424"/>
      <c r="M23" s="424"/>
      <c r="N23" s="424"/>
      <c r="O23" s="424"/>
      <c r="P23" s="424"/>
      <c r="Q23" s="427"/>
      <c r="R23" s="500"/>
      <c r="S23" s="500"/>
      <c r="T23" s="500"/>
      <c r="U23" s="500"/>
      <c r="V23" s="500"/>
      <c r="W23" s="500"/>
      <c r="X23" s="500"/>
      <c r="Y23" s="500"/>
      <c r="Z23" s="500"/>
      <c r="AA23" s="500"/>
      <c r="AB23" s="500"/>
      <c r="AC23" s="500"/>
      <c r="AD23" s="500"/>
      <c r="AE23" s="500"/>
    </row>
    <row r="24" spans="1:31" s="331" customFormat="1" ht="13.2" x14ac:dyDescent="0.25">
      <c r="A24" s="329"/>
      <c r="B24" s="329"/>
      <c r="C24" s="324" t="s">
        <v>111</v>
      </c>
      <c r="D24" s="326" t="s">
        <v>112</v>
      </c>
      <c r="E24" s="327">
        <v>4</v>
      </c>
      <c r="F24" s="504"/>
      <c r="G24" s="502" t="s">
        <v>113</v>
      </c>
      <c r="H24" s="424"/>
      <c r="I24" s="424"/>
      <c r="J24" s="424"/>
      <c r="K24" s="424"/>
      <c r="L24" s="424"/>
      <c r="M24" s="424"/>
      <c r="N24" s="424"/>
      <c r="O24" s="424"/>
      <c r="P24" s="424"/>
      <c r="Q24" s="427"/>
      <c r="R24" s="500"/>
      <c r="S24" s="500"/>
      <c r="T24" s="500"/>
      <c r="U24" s="500"/>
      <c r="V24" s="500"/>
      <c r="W24" s="500"/>
      <c r="X24" s="500"/>
      <c r="Y24" s="500"/>
      <c r="Z24" s="500"/>
      <c r="AA24" s="500"/>
      <c r="AB24" s="500"/>
      <c r="AC24" s="500"/>
      <c r="AD24" s="500"/>
      <c r="AE24" s="500"/>
    </row>
    <row r="25" spans="1:31" s="331" customFormat="1" ht="13.2" x14ac:dyDescent="0.25">
      <c r="A25" s="329"/>
      <c r="B25" s="329"/>
      <c r="C25" s="324" t="s">
        <v>114</v>
      </c>
      <c r="D25" s="326" t="s">
        <v>215</v>
      </c>
      <c r="E25" s="327">
        <v>3</v>
      </c>
      <c r="F25" s="504"/>
      <c r="G25" s="749"/>
      <c r="H25" s="750"/>
      <c r="I25" s="750"/>
      <c r="J25" s="750"/>
      <c r="K25" s="750"/>
      <c r="L25" s="750"/>
      <c r="M25" s="750"/>
      <c r="N25" s="750"/>
      <c r="O25" s="750"/>
      <c r="P25" s="750"/>
      <c r="Q25" s="751"/>
      <c r="R25" s="500"/>
      <c r="S25" s="500"/>
      <c r="T25" s="500"/>
      <c r="U25" s="500"/>
      <c r="V25" s="500"/>
      <c r="W25" s="500"/>
      <c r="X25" s="500"/>
      <c r="Y25" s="500"/>
      <c r="Z25" s="500"/>
      <c r="AA25" s="500"/>
      <c r="AB25" s="500"/>
      <c r="AC25" s="500"/>
      <c r="AD25" s="500"/>
      <c r="AE25" s="500"/>
    </row>
    <row r="26" spans="1:31" s="331" customFormat="1" ht="13.2" x14ac:dyDescent="0.25">
      <c r="A26" s="329"/>
      <c r="B26" s="329"/>
      <c r="C26" s="324" t="s">
        <v>116</v>
      </c>
      <c r="D26" s="326" t="s">
        <v>117</v>
      </c>
      <c r="E26" s="327">
        <v>2</v>
      </c>
      <c r="F26" s="504"/>
      <c r="G26" s="752"/>
      <c r="H26" s="753"/>
      <c r="I26" s="753"/>
      <c r="J26" s="753"/>
      <c r="K26" s="753"/>
      <c r="L26" s="753"/>
      <c r="M26" s="753"/>
      <c r="N26" s="753"/>
      <c r="O26" s="753"/>
      <c r="P26" s="753"/>
      <c r="Q26" s="754"/>
      <c r="R26" s="500"/>
      <c r="S26" s="500"/>
      <c r="T26" s="500"/>
      <c r="U26" s="500"/>
      <c r="V26" s="500"/>
      <c r="W26" s="500"/>
      <c r="X26" s="500"/>
      <c r="Y26" s="500"/>
      <c r="Z26" s="500"/>
      <c r="AA26" s="500"/>
      <c r="AB26" s="500"/>
      <c r="AC26" s="500"/>
      <c r="AD26" s="500"/>
      <c r="AE26" s="500"/>
    </row>
    <row r="27" spans="1:31" s="331" customFormat="1" ht="13.2" x14ac:dyDescent="0.25">
      <c r="A27" s="329"/>
      <c r="B27" s="329"/>
      <c r="C27" s="326" t="s">
        <v>118</v>
      </c>
      <c r="D27" s="326" t="s">
        <v>119</v>
      </c>
      <c r="E27" s="327">
        <v>1</v>
      </c>
      <c r="F27" s="504"/>
      <c r="G27" s="755"/>
      <c r="H27" s="756"/>
      <c r="I27" s="756"/>
      <c r="J27" s="756"/>
      <c r="K27" s="756"/>
      <c r="L27" s="756"/>
      <c r="M27" s="756"/>
      <c r="N27" s="756"/>
      <c r="O27" s="756"/>
      <c r="P27" s="756"/>
      <c r="Q27" s="757"/>
      <c r="R27" s="500"/>
      <c r="S27" s="500"/>
      <c r="T27" s="500"/>
      <c r="U27" s="500"/>
      <c r="V27" s="500"/>
      <c r="W27" s="500"/>
      <c r="X27" s="500"/>
      <c r="Y27" s="500"/>
      <c r="Z27" s="500"/>
      <c r="AA27" s="500"/>
      <c r="AB27" s="500"/>
      <c r="AC27" s="500"/>
      <c r="AD27" s="500"/>
      <c r="AE27" s="500"/>
    </row>
    <row r="28" spans="1:31" s="331" customFormat="1" ht="13.2" x14ac:dyDescent="0.25">
      <c r="A28" s="329"/>
      <c r="B28" s="329"/>
      <c r="C28" s="424"/>
      <c r="D28" s="330"/>
      <c r="E28" s="428"/>
      <c r="F28" s="428"/>
      <c r="G28" s="428"/>
      <c r="H28" s="424"/>
      <c r="I28" s="424"/>
      <c r="J28" s="424"/>
      <c r="K28" s="424"/>
      <c r="L28" s="424"/>
      <c r="M28" s="424"/>
      <c r="N28" s="424"/>
      <c r="O28" s="424"/>
      <c r="P28" s="424"/>
      <c r="Q28" s="427"/>
      <c r="S28" s="500"/>
      <c r="T28" s="500"/>
      <c r="U28" s="500"/>
      <c r="V28" s="500"/>
      <c r="W28" s="500"/>
      <c r="X28" s="500"/>
      <c r="Y28" s="500"/>
      <c r="Z28" s="500"/>
      <c r="AA28" s="500"/>
      <c r="AB28" s="500"/>
      <c r="AC28" s="500"/>
      <c r="AD28" s="500"/>
      <c r="AE28" s="500"/>
    </row>
    <row r="29" spans="1:31" s="331" customFormat="1" ht="13.2" x14ac:dyDescent="0.25">
      <c r="A29" s="329"/>
      <c r="B29" s="329"/>
      <c r="C29" s="424"/>
      <c r="D29" s="330"/>
      <c r="E29" s="428"/>
      <c r="F29" s="428"/>
      <c r="G29" s="428"/>
      <c r="H29" s="424"/>
      <c r="I29" s="424"/>
      <c r="J29" s="424"/>
      <c r="K29" s="424"/>
      <c r="L29" s="424"/>
      <c r="M29" s="424"/>
      <c r="N29" s="424"/>
      <c r="O29" s="424"/>
      <c r="P29" s="424"/>
      <c r="Q29" s="427"/>
      <c r="S29" s="500"/>
      <c r="T29" s="500"/>
      <c r="U29" s="500"/>
      <c r="V29" s="500"/>
      <c r="W29" s="500"/>
      <c r="X29" s="500"/>
      <c r="Y29" s="500"/>
      <c r="Z29" s="500"/>
      <c r="AA29" s="500"/>
      <c r="AB29" s="500"/>
      <c r="AC29" s="500"/>
      <c r="AD29" s="500"/>
      <c r="AE29" s="500"/>
    </row>
    <row r="30" spans="1:31" ht="15.6" x14ac:dyDescent="0.25">
      <c r="A30" s="2"/>
      <c r="B30" s="2"/>
      <c r="C30" s="59" t="s">
        <v>120</v>
      </c>
      <c r="D30" s="60"/>
      <c r="E30" s="61"/>
      <c r="F30" s="61"/>
      <c r="G30" s="61"/>
      <c r="H30" s="4"/>
      <c r="I30" s="62"/>
      <c r="J30" s="4"/>
      <c r="K30" s="4"/>
      <c r="L30" s="4"/>
      <c r="M30" s="4"/>
      <c r="N30" s="4"/>
      <c r="O30" s="4"/>
      <c r="P30" s="4"/>
      <c r="Q30" s="4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</row>
    <row r="31" spans="1:31" ht="15.6" x14ac:dyDescent="0.25">
      <c r="A31" s="2"/>
      <c r="B31" s="2"/>
      <c r="C31" s="59"/>
      <c r="D31" s="60"/>
      <c r="E31" s="61"/>
      <c r="F31" s="61"/>
      <c r="G31" s="61"/>
      <c r="H31" s="4"/>
      <c r="I31" s="62"/>
      <c r="J31" s="4"/>
      <c r="K31" s="4"/>
      <c r="L31" s="4"/>
      <c r="M31" s="4"/>
      <c r="N31" s="4"/>
      <c r="O31" s="4"/>
      <c r="P31" s="4"/>
      <c r="Q31" s="4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</row>
    <row r="32" spans="1:31" ht="15.6" x14ac:dyDescent="0.25">
      <c r="A32" s="2"/>
      <c r="B32" s="2"/>
      <c r="C32" s="62"/>
      <c r="D32" s="5"/>
      <c r="E32" s="60"/>
      <c r="F32" s="60"/>
      <c r="G32" s="60"/>
      <c r="H32" s="4"/>
      <c r="I32" s="62"/>
      <c r="J32" s="4"/>
      <c r="K32" s="4"/>
      <c r="L32" s="4"/>
      <c r="M32" s="4"/>
      <c r="N32" s="4"/>
      <c r="O32" s="4"/>
      <c r="P32" s="4"/>
      <c r="Q32" s="4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</row>
    <row r="33" spans="1:31" ht="15.6" x14ac:dyDescent="0.25">
      <c r="A33" s="2"/>
      <c r="B33" s="2"/>
      <c r="C33" s="63" t="s">
        <v>121</v>
      </c>
      <c r="D33" s="64"/>
      <c r="E33" s="60"/>
      <c r="F33" s="60"/>
      <c r="G33" s="60"/>
      <c r="H33" s="4"/>
      <c r="I33" s="65"/>
      <c r="J33" s="4"/>
      <c r="K33" s="4"/>
      <c r="L33" s="4"/>
      <c r="M33" s="4"/>
      <c r="N33" s="4"/>
      <c r="O33" s="4"/>
      <c r="P33" s="4"/>
      <c r="Q33" s="4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</row>
    <row r="34" spans="1:31" x14ac:dyDescent="0.25">
      <c r="A34" s="2"/>
      <c r="B34" s="2"/>
      <c r="C34" s="62"/>
      <c r="D34" s="5"/>
      <c r="E34" s="5"/>
      <c r="F34" s="5"/>
      <c r="G34" s="5"/>
      <c r="H34" s="4"/>
      <c r="I34" s="62"/>
      <c r="J34" s="4"/>
      <c r="K34" s="4"/>
      <c r="L34" s="4"/>
      <c r="M34" s="4"/>
      <c r="N34" s="4"/>
      <c r="O34" s="4"/>
      <c r="P34" s="4"/>
      <c r="Q34" s="4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</row>
    <row r="35" spans="1:31" ht="15.6" x14ac:dyDescent="0.25">
      <c r="A35" s="2"/>
      <c r="B35" s="2"/>
      <c r="C35" s="4"/>
      <c r="D35" s="5"/>
      <c r="E35" s="64"/>
      <c r="F35" s="64"/>
      <c r="G35" s="64"/>
      <c r="H35" s="4"/>
      <c r="I35" s="4"/>
      <c r="J35" s="4"/>
      <c r="K35" s="4"/>
      <c r="L35" s="4"/>
      <c r="M35" s="4"/>
      <c r="N35" s="4"/>
      <c r="O35" s="4"/>
      <c r="P35" s="4"/>
      <c r="Q35" s="46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</row>
    <row r="36" spans="1:31" x14ac:dyDescent="0.25">
      <c r="E36" s="5"/>
      <c r="F36" s="5"/>
      <c r="G36" s="5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</row>
    <row r="37" spans="1:31" x14ac:dyDescent="0.3">
      <c r="E37" s="61"/>
      <c r="F37" s="61"/>
      <c r="G37" s="61"/>
    </row>
  </sheetData>
  <mergeCells count="17">
    <mergeCell ref="G2:G3"/>
    <mergeCell ref="B2:B3"/>
    <mergeCell ref="C2:C3"/>
    <mergeCell ref="D2:D3"/>
    <mergeCell ref="E2:E3"/>
    <mergeCell ref="F2:F3"/>
    <mergeCell ref="H17:J17"/>
    <mergeCell ref="L17:N17"/>
    <mergeCell ref="G21:Q22"/>
    <mergeCell ref="G25:Q27"/>
    <mergeCell ref="B4:B12"/>
    <mergeCell ref="C4:C12"/>
    <mergeCell ref="D4:D9"/>
    <mergeCell ref="D10:D12"/>
    <mergeCell ref="B13:B17"/>
    <mergeCell ref="C13:C17"/>
    <mergeCell ref="D14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D831-A02E-4248-B448-9B75E5A097F0}">
  <dimension ref="A1:O17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32.77734375" defaultRowHeight="34.5" customHeight="1" x14ac:dyDescent="0.3"/>
  <cols>
    <col min="1" max="1" width="6.88671875" customWidth="1"/>
    <col min="2" max="2" width="25.77734375" customWidth="1"/>
    <col min="3" max="3" width="12.88671875" style="233" customWidth="1"/>
    <col min="4" max="4" width="32.5546875" customWidth="1"/>
    <col min="5" max="5" width="32.77734375" customWidth="1"/>
    <col min="6" max="6" width="49.109375" hidden="1" customWidth="1"/>
    <col min="7" max="7" width="15.88671875" hidden="1" customWidth="1"/>
    <col min="8" max="8" width="8.88671875" style="233" customWidth="1"/>
    <col min="9" max="9" width="13" style="233" customWidth="1"/>
    <col min="10" max="10" width="12.109375" style="237" customWidth="1"/>
    <col min="11" max="11" width="11" customWidth="1"/>
    <col min="12" max="12" width="12.109375" customWidth="1"/>
    <col min="13" max="13" width="10" customWidth="1"/>
    <col min="14" max="14" width="10.88671875" customWidth="1"/>
    <col min="15" max="15" width="10.109375" customWidth="1"/>
  </cols>
  <sheetData>
    <row r="1" spans="1:15" s="236" customFormat="1" ht="50.25" customHeight="1" thickBot="1" x14ac:dyDescent="0.35">
      <c r="A1" s="518" t="s">
        <v>0</v>
      </c>
      <c r="B1" s="518" t="s">
        <v>216</v>
      </c>
      <c r="C1" s="519" t="s">
        <v>217</v>
      </c>
      <c r="D1" s="518" t="s">
        <v>218</v>
      </c>
      <c r="E1" s="518" t="s">
        <v>219</v>
      </c>
      <c r="F1" s="520" t="s">
        <v>220</v>
      </c>
      <c r="G1" s="518" t="s">
        <v>221</v>
      </c>
      <c r="H1" s="521" t="s">
        <v>222</v>
      </c>
      <c r="I1" s="522" t="s">
        <v>223</v>
      </c>
      <c r="J1" s="290" t="s">
        <v>131</v>
      </c>
      <c r="K1" s="290" t="s">
        <v>132</v>
      </c>
      <c r="L1" s="290" t="s">
        <v>133</v>
      </c>
      <c r="M1" s="290" t="s">
        <v>134</v>
      </c>
      <c r="N1" s="291" t="s">
        <v>135</v>
      </c>
      <c r="O1" s="292" t="s">
        <v>74</v>
      </c>
    </row>
    <row r="2" spans="1:15" s="1" customFormat="1" ht="69.75" customHeight="1" x14ac:dyDescent="0.3">
      <c r="A2" s="792">
        <v>1</v>
      </c>
      <c r="B2" s="798" t="s">
        <v>28</v>
      </c>
      <c r="C2" s="799">
        <v>0.1</v>
      </c>
      <c r="D2" s="802" t="s">
        <v>224</v>
      </c>
      <c r="E2" s="566" t="s">
        <v>77</v>
      </c>
      <c r="F2" s="524" t="s">
        <v>225</v>
      </c>
      <c r="G2" s="524" t="s">
        <v>226</v>
      </c>
      <c r="H2" s="525">
        <v>0.3</v>
      </c>
      <c r="I2" s="289"/>
      <c r="J2" s="276"/>
      <c r="K2" s="277"/>
      <c r="L2" s="277"/>
      <c r="M2" s="277"/>
      <c r="N2" s="277"/>
      <c r="O2" s="277"/>
    </row>
    <row r="3" spans="1:15" s="1" customFormat="1" ht="66.75" customHeight="1" x14ac:dyDescent="0.3">
      <c r="A3" s="793"/>
      <c r="B3" s="798"/>
      <c r="C3" s="800"/>
      <c r="D3" s="803"/>
      <c r="E3" s="567" t="s">
        <v>227</v>
      </c>
      <c r="F3" s="565"/>
      <c r="G3" s="526"/>
      <c r="H3" s="527">
        <v>0.2</v>
      </c>
      <c r="I3" s="239"/>
      <c r="J3" s="270"/>
      <c r="K3" s="256"/>
      <c r="L3" s="256"/>
      <c r="M3" s="256"/>
      <c r="N3" s="256"/>
      <c r="O3" s="256"/>
    </row>
    <row r="4" spans="1:15" s="1" customFormat="1" ht="90.75" customHeight="1" x14ac:dyDescent="0.3">
      <c r="A4" s="793"/>
      <c r="B4" s="798"/>
      <c r="C4" s="800"/>
      <c r="D4" s="803"/>
      <c r="E4" s="567" t="s">
        <v>228</v>
      </c>
      <c r="F4" s="565"/>
      <c r="G4" s="526"/>
      <c r="H4" s="527">
        <v>0.2</v>
      </c>
      <c r="I4" s="239"/>
      <c r="J4" s="270"/>
      <c r="K4" s="256"/>
      <c r="L4" s="256"/>
      <c r="M4" s="256"/>
      <c r="N4" s="256"/>
      <c r="O4" s="256"/>
    </row>
    <row r="5" spans="1:15" s="1" customFormat="1" ht="45" customHeight="1" x14ac:dyDescent="0.3">
      <c r="A5" s="794"/>
      <c r="B5" s="798"/>
      <c r="C5" s="801"/>
      <c r="D5" s="802"/>
      <c r="E5" s="526" t="s">
        <v>229</v>
      </c>
      <c r="F5" s="528" t="s">
        <v>230</v>
      </c>
      <c r="G5" s="529" t="s">
        <v>226</v>
      </c>
      <c r="H5" s="530">
        <v>0.3</v>
      </c>
      <c r="I5" s="272"/>
      <c r="J5" s="281"/>
      <c r="K5" s="282"/>
      <c r="L5" s="282"/>
      <c r="M5" s="282"/>
      <c r="N5" s="282"/>
      <c r="O5" s="282"/>
    </row>
    <row r="6" spans="1:15" s="1" customFormat="1" ht="22.5" customHeight="1" thickBot="1" x14ac:dyDescent="0.35">
      <c r="A6" s="271"/>
      <c r="B6" s="531"/>
      <c r="C6" s="532"/>
      <c r="D6" s="523"/>
      <c r="E6" s="533" t="s">
        <v>231</v>
      </c>
      <c r="F6" s="534"/>
      <c r="G6" s="535"/>
      <c r="H6" s="536">
        <f>SUM(H2:H5)</f>
        <v>1</v>
      </c>
      <c r="I6" s="293"/>
      <c r="J6" s="287"/>
      <c r="K6" s="286"/>
      <c r="L6" s="286"/>
      <c r="M6" s="286"/>
      <c r="N6" s="286"/>
      <c r="O6" s="288"/>
    </row>
    <row r="7" spans="1:15" s="1" customFormat="1" ht="74.25" customHeight="1" thickBot="1" x14ac:dyDescent="0.35">
      <c r="A7" s="795">
        <v>2</v>
      </c>
      <c r="B7" s="804" t="s">
        <v>37</v>
      </c>
      <c r="C7" s="806">
        <v>0.6</v>
      </c>
      <c r="D7" s="809" t="s">
        <v>232</v>
      </c>
      <c r="E7" s="537" t="s">
        <v>233</v>
      </c>
      <c r="F7" s="537" t="s">
        <v>234</v>
      </c>
      <c r="G7" s="537" t="s">
        <v>226</v>
      </c>
      <c r="H7" s="538">
        <v>0.3</v>
      </c>
      <c r="I7" s="273"/>
      <c r="J7" s="276"/>
      <c r="K7" s="277"/>
      <c r="L7" s="277"/>
      <c r="M7" s="277"/>
      <c r="N7" s="277"/>
      <c r="O7" s="277"/>
    </row>
    <row r="8" spans="1:15" s="1" customFormat="1" ht="56.25" customHeight="1" thickBot="1" x14ac:dyDescent="0.35">
      <c r="A8" s="796"/>
      <c r="B8" s="805"/>
      <c r="C8" s="807"/>
      <c r="D8" s="809"/>
      <c r="E8" s="539" t="s">
        <v>235</v>
      </c>
      <c r="F8" s="540"/>
      <c r="G8" s="540"/>
      <c r="H8" s="541">
        <v>0.2</v>
      </c>
      <c r="I8" s="240"/>
      <c r="J8" s="270"/>
      <c r="K8" s="256"/>
      <c r="L8" s="256"/>
      <c r="M8" s="256"/>
      <c r="N8" s="256"/>
      <c r="O8" s="256"/>
    </row>
    <row r="9" spans="1:15" s="1" customFormat="1" ht="48.75" customHeight="1" x14ac:dyDescent="0.3">
      <c r="A9" s="796"/>
      <c r="B9" s="805"/>
      <c r="C9" s="807"/>
      <c r="D9" s="809"/>
      <c r="E9" s="539" t="s">
        <v>236</v>
      </c>
      <c r="F9" s="540"/>
      <c r="G9" s="540"/>
      <c r="H9" s="541">
        <v>0.2</v>
      </c>
      <c r="I9" s="240"/>
      <c r="J9" s="270"/>
      <c r="K9" s="256"/>
      <c r="L9" s="256"/>
      <c r="M9" s="256"/>
      <c r="N9" s="256"/>
      <c r="O9" s="256"/>
    </row>
    <row r="10" spans="1:15" s="1" customFormat="1" ht="56.25" customHeight="1" thickBot="1" x14ac:dyDescent="0.35">
      <c r="A10" s="796"/>
      <c r="B10" s="805"/>
      <c r="C10" s="808"/>
      <c r="D10" s="542" t="s">
        <v>237</v>
      </c>
      <c r="E10" s="542" t="s">
        <v>238</v>
      </c>
      <c r="F10" s="539" t="s">
        <v>239</v>
      </c>
      <c r="G10" s="539" t="s">
        <v>240</v>
      </c>
      <c r="H10" s="543">
        <v>0.3</v>
      </c>
      <c r="I10" s="240"/>
      <c r="J10" s="270"/>
      <c r="K10" s="256"/>
      <c r="L10" s="256"/>
      <c r="M10" s="256"/>
      <c r="N10" s="256"/>
      <c r="O10" s="256"/>
    </row>
    <row r="11" spans="1:15" s="1" customFormat="1" ht="18.75" customHeight="1" thickBot="1" x14ac:dyDescent="0.35">
      <c r="A11" s="274"/>
      <c r="B11" s="544"/>
      <c r="C11" s="545"/>
      <c r="D11" s="546"/>
      <c r="E11" s="547" t="s">
        <v>241</v>
      </c>
      <c r="F11" s="548"/>
      <c r="G11" s="548"/>
      <c r="H11" s="549">
        <f>SUM(H7:H10)</f>
        <v>1</v>
      </c>
      <c r="I11" s="283"/>
      <c r="J11" s="278"/>
      <c r="K11" s="279"/>
      <c r="L11" s="279"/>
      <c r="M11" s="279"/>
      <c r="N11" s="279"/>
      <c r="O11" s="280"/>
    </row>
    <row r="12" spans="1:15" s="1" customFormat="1" ht="89.25" customHeight="1" x14ac:dyDescent="0.3">
      <c r="A12" s="234">
        <v>3</v>
      </c>
      <c r="B12" s="788" t="s">
        <v>44</v>
      </c>
      <c r="C12" s="791">
        <v>0.3</v>
      </c>
      <c r="D12" s="550" t="s">
        <v>242</v>
      </c>
      <c r="E12" s="550" t="s">
        <v>243</v>
      </c>
      <c r="F12" s="550" t="s">
        <v>244</v>
      </c>
      <c r="G12" s="550" t="s">
        <v>240</v>
      </c>
      <c r="H12" s="551">
        <v>0.4</v>
      </c>
      <c r="I12" s="275"/>
      <c r="J12" s="276"/>
      <c r="K12" s="277"/>
      <c r="L12" s="277"/>
      <c r="M12" s="277"/>
      <c r="N12" s="277"/>
      <c r="O12" s="277"/>
    </row>
    <row r="13" spans="1:15" s="1" customFormat="1" ht="61.5" customHeight="1" x14ac:dyDescent="0.3">
      <c r="A13" s="234"/>
      <c r="B13" s="789"/>
      <c r="C13" s="791"/>
      <c r="D13" s="797" t="s">
        <v>245</v>
      </c>
      <c r="E13" s="552" t="s">
        <v>246</v>
      </c>
      <c r="F13" s="552" t="s">
        <v>247</v>
      </c>
      <c r="G13" s="552" t="s">
        <v>240</v>
      </c>
      <c r="H13" s="553">
        <v>0.2</v>
      </c>
      <c r="I13" s="238"/>
      <c r="J13" s="270"/>
      <c r="K13" s="256"/>
      <c r="L13" s="256"/>
      <c r="M13" s="256"/>
      <c r="N13" s="256"/>
      <c r="O13" s="256"/>
    </row>
    <row r="14" spans="1:15" s="1" customFormat="1" ht="74.25" customHeight="1" x14ac:dyDescent="0.3">
      <c r="A14" s="234"/>
      <c r="B14" s="789"/>
      <c r="C14" s="791"/>
      <c r="D14" s="797"/>
      <c r="E14" s="554" t="s">
        <v>248</v>
      </c>
      <c r="F14" s="552"/>
      <c r="G14" s="552" t="s">
        <v>240</v>
      </c>
      <c r="H14" s="553">
        <v>0.2</v>
      </c>
      <c r="I14" s="238"/>
      <c r="J14" s="270"/>
      <c r="K14" s="256"/>
      <c r="L14" s="256"/>
      <c r="M14" s="256"/>
      <c r="N14" s="256"/>
      <c r="O14" s="256"/>
    </row>
    <row r="15" spans="1:15" s="1" customFormat="1" ht="57.75" customHeight="1" x14ac:dyDescent="0.3">
      <c r="A15" s="235"/>
      <c r="B15" s="789"/>
      <c r="C15" s="791"/>
      <c r="D15" s="797"/>
      <c r="E15" s="552" t="s">
        <v>249</v>
      </c>
      <c r="F15" s="552"/>
      <c r="G15" s="552" t="s">
        <v>240</v>
      </c>
      <c r="H15" s="553">
        <v>0.1</v>
      </c>
      <c r="I15" s="238"/>
      <c r="J15" s="270"/>
      <c r="K15" s="256"/>
      <c r="L15" s="256"/>
      <c r="M15" s="256"/>
      <c r="N15" s="256"/>
      <c r="O15" s="256"/>
    </row>
    <row r="16" spans="1:15" s="1" customFormat="1" ht="74.25" customHeight="1" thickBot="1" x14ac:dyDescent="0.35">
      <c r="B16" s="790"/>
      <c r="C16" s="791"/>
      <c r="D16" s="555" t="s">
        <v>98</v>
      </c>
      <c r="E16" s="556" t="s">
        <v>99</v>
      </c>
      <c r="F16" s="557"/>
      <c r="G16" s="557"/>
      <c r="H16" s="558">
        <v>0.1</v>
      </c>
      <c r="I16" s="284"/>
      <c r="J16" s="281"/>
      <c r="K16" s="282"/>
      <c r="L16" s="282"/>
      <c r="M16" s="282"/>
      <c r="N16" s="282"/>
      <c r="O16" s="282"/>
    </row>
    <row r="17" spans="2:15" s="1" customFormat="1" ht="24.75" customHeight="1" thickBot="1" x14ac:dyDescent="0.35">
      <c r="B17" s="559"/>
      <c r="C17" s="560"/>
      <c r="D17" s="561"/>
      <c r="E17" s="562" t="s">
        <v>250</v>
      </c>
      <c r="F17" s="563"/>
      <c r="G17" s="563"/>
      <c r="H17" s="564">
        <f>SUM(H12:H16)</f>
        <v>1</v>
      </c>
      <c r="I17" s="285"/>
      <c r="J17" s="287"/>
      <c r="K17" s="286"/>
      <c r="L17" s="286"/>
      <c r="M17" s="286"/>
      <c r="N17" s="286"/>
      <c r="O17" s="288"/>
    </row>
  </sheetData>
  <mergeCells count="11">
    <mergeCell ref="B12:B16"/>
    <mergeCell ref="C12:C16"/>
    <mergeCell ref="A2:A5"/>
    <mergeCell ref="A7:A10"/>
    <mergeCell ref="D13:D15"/>
    <mergeCell ref="B2:B5"/>
    <mergeCell ref="C2:C5"/>
    <mergeCell ref="D2:D5"/>
    <mergeCell ref="B7:B10"/>
    <mergeCell ref="C7:C10"/>
    <mergeCell ref="D7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6F96-948E-4DD9-91A7-C5D8CEA78679}">
  <dimension ref="A1:R42"/>
  <sheetViews>
    <sheetView topLeftCell="A14" zoomScale="90" zoomScaleNormal="90" workbookViewId="0">
      <selection activeCell="E17" sqref="E17"/>
    </sheetView>
  </sheetViews>
  <sheetFormatPr defaultColWidth="9.109375" defaultRowHeight="15" x14ac:dyDescent="0.3"/>
  <cols>
    <col min="1" max="1" width="2.77734375" style="6" customWidth="1"/>
    <col min="2" max="2" width="6.44140625" style="6" customWidth="1"/>
    <col min="3" max="3" width="12.33203125" style="6" customWidth="1"/>
    <col min="4" max="4" width="26.21875" style="58" customWidth="1"/>
    <col min="5" max="5" width="40.109375" style="58" customWidth="1"/>
    <col min="6" max="6" width="34.5546875" style="58" customWidth="1"/>
    <col min="7" max="7" width="12.33203125" style="58" customWidth="1"/>
    <col min="8" max="8" width="9.44140625" style="255" customWidth="1"/>
    <col min="9" max="9" width="12.33203125" style="6" customWidth="1"/>
    <col min="10" max="10" width="11.44140625" style="66" customWidth="1"/>
    <col min="11" max="11" width="12.6640625" style="66" customWidth="1"/>
    <col min="12" max="12" width="12" style="66" customWidth="1"/>
    <col min="13" max="13" width="11.44140625" style="66" customWidth="1"/>
    <col min="14" max="15" width="10.77734375" style="66" customWidth="1"/>
    <col min="16" max="16" width="10.21875" style="66" hidden="1" customWidth="1"/>
    <col min="17" max="17" width="14.109375" style="66" hidden="1" customWidth="1"/>
    <col min="18" max="18" width="10.21875" style="6" customWidth="1"/>
    <col min="19" max="16384" width="9.109375" style="6"/>
  </cols>
  <sheetData>
    <row r="1" spans="1:18" s="500" customFormat="1" ht="49.5" customHeight="1" x14ac:dyDescent="0.25">
      <c r="A1" s="493"/>
      <c r="B1" s="508" t="s">
        <v>125</v>
      </c>
      <c r="C1" s="266" t="s">
        <v>126</v>
      </c>
      <c r="D1" s="244" t="s">
        <v>251</v>
      </c>
      <c r="E1" s="244" t="s">
        <v>128</v>
      </c>
      <c r="F1" s="244" t="s">
        <v>129</v>
      </c>
      <c r="G1" s="244" t="s">
        <v>130</v>
      </c>
      <c r="H1" s="509" t="s">
        <v>4</v>
      </c>
      <c r="I1" s="509" t="s">
        <v>68</v>
      </c>
      <c r="J1" s="244" t="s">
        <v>131</v>
      </c>
      <c r="K1" s="244" t="s">
        <v>132</v>
      </c>
      <c r="L1" s="244" t="s">
        <v>133</v>
      </c>
      <c r="M1" s="244" t="s">
        <v>134</v>
      </c>
      <c r="N1" s="499" t="s">
        <v>135</v>
      </c>
      <c r="O1" s="499" t="s">
        <v>74</v>
      </c>
      <c r="P1" s="499"/>
      <c r="Q1" s="499"/>
    </row>
    <row r="2" spans="1:18" ht="15.75" customHeight="1" x14ac:dyDescent="0.3">
      <c r="A2" s="13"/>
      <c r="B2" s="820" t="s">
        <v>252</v>
      </c>
      <c r="C2" s="823">
        <v>0.3</v>
      </c>
      <c r="D2" s="841" t="s">
        <v>253</v>
      </c>
      <c r="E2" s="14"/>
      <c r="F2" s="14"/>
      <c r="G2" s="15"/>
      <c r="H2" s="245"/>
      <c r="I2" s="92"/>
      <c r="J2" s="16"/>
      <c r="K2" s="16"/>
      <c r="L2" s="16"/>
      <c r="M2" s="16"/>
      <c r="N2" s="81"/>
      <c r="O2" s="82"/>
      <c r="P2" s="81"/>
      <c r="Q2" s="81"/>
    </row>
    <row r="3" spans="1:18" ht="91.5" customHeight="1" x14ac:dyDescent="0.3">
      <c r="A3" s="13"/>
      <c r="B3" s="820"/>
      <c r="C3" s="823"/>
      <c r="D3" s="842"/>
      <c r="E3" s="241" t="s">
        <v>254</v>
      </c>
      <c r="F3" s="241" t="s">
        <v>255</v>
      </c>
      <c r="G3" s="513" t="s">
        <v>256</v>
      </c>
      <c r="H3" s="246">
        <v>0.6</v>
      </c>
      <c r="I3" s="646">
        <v>96</v>
      </c>
      <c r="J3" s="645"/>
      <c r="K3" s="647"/>
      <c r="L3" s="70"/>
      <c r="M3" s="70"/>
      <c r="N3" s="153">
        <f>SUM(J3:M3)</f>
        <v>0</v>
      </c>
      <c r="O3" s="83">
        <f>(N3/I3)*H3*C2</f>
        <v>0</v>
      </c>
      <c r="P3" s="81"/>
      <c r="Q3" s="81"/>
      <c r="R3" s="644" t="s">
        <v>257</v>
      </c>
    </row>
    <row r="4" spans="1:18" ht="61.5" customHeight="1" x14ac:dyDescent="0.3">
      <c r="A4" s="13"/>
      <c r="B4" s="820"/>
      <c r="C4" s="823"/>
      <c r="D4" s="842"/>
      <c r="E4" s="242" t="s">
        <v>258</v>
      </c>
      <c r="F4" s="241" t="s">
        <v>259</v>
      </c>
      <c r="G4" s="513" t="s">
        <v>260</v>
      </c>
      <c r="H4" s="246">
        <v>0.3</v>
      </c>
      <c r="I4" s="516">
        <v>120</v>
      </c>
      <c r="J4" s="648"/>
      <c r="K4" s="70"/>
      <c r="L4" s="70"/>
      <c r="M4" s="70"/>
      <c r="N4" s="153">
        <f t="shared" ref="N4:N5" si="0">SUM(J4:M4)</f>
        <v>0</v>
      </c>
      <c r="O4" s="83">
        <f>(N4/I4)*H4*C2</f>
        <v>0</v>
      </c>
      <c r="P4" s="81"/>
      <c r="Q4" s="81"/>
      <c r="R4" s="58" t="s">
        <v>261</v>
      </c>
    </row>
    <row r="5" spans="1:18" ht="53.25" customHeight="1" x14ac:dyDescent="0.3">
      <c r="A5" s="13"/>
      <c r="B5" s="820"/>
      <c r="C5" s="823"/>
      <c r="D5" s="842"/>
      <c r="E5" s="241" t="s">
        <v>262</v>
      </c>
      <c r="F5" s="241" t="s">
        <v>263</v>
      </c>
      <c r="G5" s="513" t="s">
        <v>264</v>
      </c>
      <c r="H5" s="246">
        <v>0.1</v>
      </c>
      <c r="I5" s="516" t="s">
        <v>265</v>
      </c>
      <c r="J5" s="70"/>
      <c r="K5" s="70"/>
      <c r="L5" s="70"/>
      <c r="M5" s="70"/>
      <c r="N5" s="153">
        <f t="shared" si="0"/>
        <v>0</v>
      </c>
      <c r="O5" s="83" t="e">
        <f>(N5/I5)*H5*C2</f>
        <v>#VALUE!</v>
      </c>
      <c r="P5" s="81"/>
      <c r="Q5" s="81"/>
      <c r="R5" s="58" t="s">
        <v>266</v>
      </c>
    </row>
    <row r="6" spans="1:18" ht="16.5" customHeight="1" x14ac:dyDescent="0.3">
      <c r="A6" s="13"/>
      <c r="B6" s="183"/>
      <c r="C6" s="824"/>
      <c r="D6" s="22"/>
      <c r="E6" s="23"/>
      <c r="F6" s="23"/>
      <c r="G6" s="514"/>
      <c r="H6" s="247">
        <f>SUM(H2:H5)</f>
        <v>0.99999999999999989</v>
      </c>
      <c r="I6" s="517"/>
      <c r="J6" s="25"/>
      <c r="K6" s="25"/>
      <c r="L6" s="838" t="s">
        <v>84</v>
      </c>
      <c r="M6" s="839"/>
      <c r="N6" s="840"/>
      <c r="O6" s="152" t="e">
        <f>SUM(O3:O5)</f>
        <v>#VALUE!</v>
      </c>
      <c r="P6" s="26"/>
      <c r="Q6" s="26"/>
    </row>
    <row r="7" spans="1:18" ht="71.25" customHeight="1" thickTop="1" x14ac:dyDescent="0.3">
      <c r="A7" s="2"/>
      <c r="B7" s="819" t="s">
        <v>182</v>
      </c>
      <c r="C7" s="822">
        <v>0.1</v>
      </c>
      <c r="D7" s="825" t="s">
        <v>267</v>
      </c>
      <c r="E7" s="242" t="s">
        <v>268</v>
      </c>
      <c r="F7" s="512" t="s">
        <v>269</v>
      </c>
      <c r="G7" s="515" t="s">
        <v>270</v>
      </c>
      <c r="H7" s="248">
        <v>0.6</v>
      </c>
      <c r="I7" s="516">
        <v>10</v>
      </c>
      <c r="J7" s="71"/>
      <c r="K7" s="71"/>
      <c r="L7" s="71"/>
      <c r="M7" s="71"/>
      <c r="N7" s="154">
        <f>SUM(J7:M7)</f>
        <v>0</v>
      </c>
      <c r="O7" s="149">
        <f>(N7/I7)*H7*$C$7</f>
        <v>0</v>
      </c>
      <c r="P7" s="28"/>
      <c r="Q7" s="28"/>
      <c r="R7" s="58" t="s">
        <v>271</v>
      </c>
    </row>
    <row r="8" spans="1:18" ht="59.25" customHeight="1" x14ac:dyDescent="0.3">
      <c r="A8" s="2"/>
      <c r="B8" s="820"/>
      <c r="C8" s="823"/>
      <c r="D8" s="826"/>
      <c r="E8" s="242" t="s">
        <v>272</v>
      </c>
      <c r="F8" s="243" t="s">
        <v>273</v>
      </c>
      <c r="G8" s="453"/>
      <c r="H8" s="246">
        <v>0.4</v>
      </c>
      <c r="I8" s="516">
        <v>12</v>
      </c>
      <c r="J8" s="71"/>
      <c r="K8" s="71"/>
      <c r="L8" s="71"/>
      <c r="M8" s="71"/>
      <c r="N8" s="154">
        <f t="shared" ref="N8" si="1">SUM(J8:M8)</f>
        <v>0</v>
      </c>
      <c r="O8" s="149">
        <f>(N8/I8)*H8*$C$7</f>
        <v>0</v>
      </c>
      <c r="P8" s="28"/>
      <c r="Q8" s="28"/>
      <c r="R8" s="58" t="s">
        <v>274</v>
      </c>
    </row>
    <row r="9" spans="1:18" ht="15.6" x14ac:dyDescent="0.3">
      <c r="A9" s="2"/>
      <c r="B9" s="821"/>
      <c r="C9" s="824"/>
      <c r="D9" s="186"/>
      <c r="E9" s="23"/>
      <c r="F9" s="23"/>
      <c r="G9" s="514"/>
      <c r="H9" s="249">
        <f>SUM(H7:H8)</f>
        <v>1</v>
      </c>
      <c r="I9" s="517"/>
      <c r="J9" s="32"/>
      <c r="K9" s="32"/>
      <c r="L9" s="827" t="s">
        <v>88</v>
      </c>
      <c r="M9" s="828"/>
      <c r="N9" s="829"/>
      <c r="O9" s="151">
        <f>SUM(O7:O8)</f>
        <v>0</v>
      </c>
      <c r="P9" s="33"/>
      <c r="Q9" s="33"/>
    </row>
    <row r="10" spans="1:18" ht="88.5" customHeight="1" thickTop="1" x14ac:dyDescent="0.3">
      <c r="A10" s="2"/>
      <c r="B10" s="820" t="s">
        <v>204</v>
      </c>
      <c r="C10" s="830">
        <v>0.6</v>
      </c>
      <c r="D10" s="831" t="s">
        <v>275</v>
      </c>
      <c r="E10" s="243" t="s">
        <v>276</v>
      </c>
      <c r="F10" s="649" t="s">
        <v>277</v>
      </c>
      <c r="G10" s="453" t="s">
        <v>278</v>
      </c>
      <c r="H10" s="246">
        <v>0.1</v>
      </c>
      <c r="I10" s="516">
        <v>120</v>
      </c>
      <c r="J10" s="71"/>
      <c r="K10" s="71"/>
      <c r="L10" s="71"/>
      <c r="M10" s="71"/>
      <c r="N10" s="150">
        <f>SUM(J10:M10)</f>
        <v>0</v>
      </c>
      <c r="O10" s="82" t="e">
        <f>(N10/I10)*S15H14*$C$10</f>
        <v>#NAME?</v>
      </c>
      <c r="P10" s="34"/>
      <c r="Q10" s="34"/>
      <c r="R10" s="58" t="s">
        <v>271</v>
      </c>
    </row>
    <row r="11" spans="1:18" ht="88.5" customHeight="1" x14ac:dyDescent="0.3">
      <c r="A11" s="2"/>
      <c r="B11" s="820"/>
      <c r="C11" s="830"/>
      <c r="D11" s="831"/>
      <c r="E11" s="243" t="s">
        <v>279</v>
      </c>
      <c r="F11" s="650" t="s">
        <v>280</v>
      </c>
      <c r="G11" s="453" t="s">
        <v>281</v>
      </c>
      <c r="H11" s="246">
        <v>0.1</v>
      </c>
      <c r="I11" s="516">
        <v>100</v>
      </c>
      <c r="J11" s="71"/>
      <c r="K11" s="71"/>
      <c r="L11" s="71"/>
      <c r="M11" s="71"/>
      <c r="N11" s="150">
        <f t="shared" ref="N11:N13" si="2">SUM(J11:M11)</f>
        <v>0</v>
      </c>
      <c r="O11" s="82">
        <f t="shared" ref="O11:O21" si="3">(N11/I11)*H11*$C$10</f>
        <v>0</v>
      </c>
      <c r="P11" s="34"/>
      <c r="Q11" s="34"/>
      <c r="R11" s="6" t="s">
        <v>282</v>
      </c>
    </row>
    <row r="12" spans="1:18" ht="74.25" customHeight="1" x14ac:dyDescent="0.3">
      <c r="A12" s="2"/>
      <c r="B12" s="820"/>
      <c r="C12" s="830"/>
      <c r="D12" s="831"/>
      <c r="E12" s="243" t="s">
        <v>283</v>
      </c>
      <c r="F12" s="650" t="s">
        <v>284</v>
      </c>
      <c r="G12" s="453" t="s">
        <v>285</v>
      </c>
      <c r="H12" s="246">
        <v>0.08</v>
      </c>
      <c r="I12" s="516">
        <v>1</v>
      </c>
      <c r="J12" s="71"/>
      <c r="K12" s="71"/>
      <c r="L12" s="71"/>
      <c r="M12" s="71"/>
      <c r="N12" s="150">
        <f t="shared" si="2"/>
        <v>0</v>
      </c>
      <c r="O12" s="82">
        <f t="shared" si="3"/>
        <v>0</v>
      </c>
      <c r="P12" s="34"/>
      <c r="Q12" s="34"/>
      <c r="R12" s="6" t="s">
        <v>282</v>
      </c>
    </row>
    <row r="13" spans="1:18" ht="95.25" customHeight="1" x14ac:dyDescent="0.3">
      <c r="A13" s="2"/>
      <c r="B13" s="820"/>
      <c r="C13" s="830"/>
      <c r="D13" s="831"/>
      <c r="E13" s="243" t="s">
        <v>286</v>
      </c>
      <c r="F13" s="649" t="s">
        <v>287</v>
      </c>
      <c r="G13" s="453" t="s">
        <v>285</v>
      </c>
      <c r="H13" s="246">
        <v>0.12</v>
      </c>
      <c r="I13" s="516">
        <v>95</v>
      </c>
      <c r="J13" s="71"/>
      <c r="K13" s="71"/>
      <c r="L13" s="71"/>
      <c r="M13" s="71"/>
      <c r="N13" s="150">
        <f t="shared" si="2"/>
        <v>0</v>
      </c>
      <c r="O13" s="82">
        <f t="shared" si="3"/>
        <v>0</v>
      </c>
      <c r="P13" s="34"/>
      <c r="Q13" s="34"/>
      <c r="R13" s="58" t="s">
        <v>271</v>
      </c>
    </row>
    <row r="14" spans="1:18" ht="144" customHeight="1" x14ac:dyDescent="0.3">
      <c r="A14" s="2"/>
      <c r="B14" s="820"/>
      <c r="C14" s="830"/>
      <c r="D14" s="832" t="s">
        <v>288</v>
      </c>
      <c r="E14" s="243" t="s">
        <v>289</v>
      </c>
      <c r="F14" s="649" t="s">
        <v>290</v>
      </c>
      <c r="G14" s="453"/>
      <c r="H14" s="246">
        <v>0.08</v>
      </c>
      <c r="I14" s="516">
        <v>95</v>
      </c>
      <c r="J14" s="71"/>
      <c r="K14" s="71"/>
      <c r="L14" s="71"/>
      <c r="M14" s="71"/>
      <c r="N14" s="150">
        <f t="shared" ref="N14:N21" si="4">SUM(J14:M14)</f>
        <v>0</v>
      </c>
      <c r="O14" s="82">
        <f t="shared" si="3"/>
        <v>0</v>
      </c>
      <c r="P14" s="34"/>
      <c r="Q14" s="34"/>
      <c r="R14" s="58" t="s">
        <v>257</v>
      </c>
    </row>
    <row r="15" spans="1:18" ht="107.25" customHeight="1" x14ac:dyDescent="0.3">
      <c r="A15" s="2"/>
      <c r="B15" s="820"/>
      <c r="C15" s="830"/>
      <c r="D15" s="833"/>
      <c r="E15" s="243" t="s">
        <v>291</v>
      </c>
      <c r="F15" s="649" t="s">
        <v>292</v>
      </c>
      <c r="G15" s="453" t="s">
        <v>293</v>
      </c>
      <c r="H15" s="250">
        <v>0.12</v>
      </c>
      <c r="I15" s="516">
        <v>90</v>
      </c>
      <c r="J15" s="71"/>
      <c r="K15" s="71"/>
      <c r="L15" s="71"/>
      <c r="M15" s="71"/>
      <c r="N15" s="150">
        <f t="shared" si="4"/>
        <v>0</v>
      </c>
      <c r="O15" s="82">
        <f t="shared" si="3"/>
        <v>0</v>
      </c>
      <c r="P15" s="36"/>
      <c r="Q15" s="34"/>
      <c r="R15" s="58" t="s">
        <v>294</v>
      </c>
    </row>
    <row r="16" spans="1:18" ht="44.25" customHeight="1" x14ac:dyDescent="0.3">
      <c r="A16" s="2"/>
      <c r="B16" s="820"/>
      <c r="C16" s="830"/>
      <c r="D16" s="833"/>
      <c r="E16" s="243" t="s">
        <v>295</v>
      </c>
      <c r="F16" s="243" t="s">
        <v>296</v>
      </c>
      <c r="G16" s="453" t="s">
        <v>293</v>
      </c>
      <c r="H16" s="250">
        <v>0.1</v>
      </c>
      <c r="I16" s="516">
        <v>85</v>
      </c>
      <c r="J16" s="71"/>
      <c r="K16" s="71"/>
      <c r="L16" s="71"/>
      <c r="M16" s="71"/>
      <c r="N16" s="150">
        <f t="shared" si="4"/>
        <v>0</v>
      </c>
      <c r="O16" s="82">
        <f t="shared" si="3"/>
        <v>0</v>
      </c>
      <c r="P16" s="36"/>
      <c r="Q16" s="34"/>
      <c r="R16" s="6" t="s">
        <v>297</v>
      </c>
    </row>
    <row r="17" spans="1:18" ht="59.25" customHeight="1" x14ac:dyDescent="0.3">
      <c r="A17" s="2"/>
      <c r="B17" s="820"/>
      <c r="C17" s="830"/>
      <c r="D17" s="834"/>
      <c r="E17" s="243" t="s">
        <v>298</v>
      </c>
      <c r="F17" s="243" t="s">
        <v>299</v>
      </c>
      <c r="G17" s="453" t="s">
        <v>300</v>
      </c>
      <c r="H17" s="250">
        <v>0.05</v>
      </c>
      <c r="I17" s="516">
        <v>90</v>
      </c>
      <c r="J17" s="71"/>
      <c r="K17" s="71"/>
      <c r="L17" s="71"/>
      <c r="M17" s="71"/>
      <c r="N17" s="150"/>
      <c r="O17" s="82">
        <f t="shared" si="3"/>
        <v>0</v>
      </c>
      <c r="P17" s="36"/>
      <c r="Q17" s="34"/>
      <c r="R17" s="6" t="s">
        <v>301</v>
      </c>
    </row>
    <row r="18" spans="1:18" ht="104.25" customHeight="1" x14ac:dyDescent="0.3">
      <c r="A18" s="2"/>
      <c r="B18" s="820"/>
      <c r="C18" s="830"/>
      <c r="D18" s="835" t="s">
        <v>302</v>
      </c>
      <c r="E18" s="243" t="s">
        <v>303</v>
      </c>
      <c r="F18" s="649" t="s">
        <v>304</v>
      </c>
      <c r="G18" s="453" t="s">
        <v>305</v>
      </c>
      <c r="H18" s="250">
        <v>0.08</v>
      </c>
      <c r="I18" s="516">
        <v>0</v>
      </c>
      <c r="J18" s="71"/>
      <c r="K18" s="71"/>
      <c r="L18" s="71"/>
      <c r="M18" s="71"/>
      <c r="N18" s="150"/>
      <c r="O18" s="82" t="e">
        <f t="shared" si="3"/>
        <v>#DIV/0!</v>
      </c>
      <c r="P18" s="36"/>
      <c r="Q18" s="36"/>
      <c r="R18" s="58" t="s">
        <v>294</v>
      </c>
    </row>
    <row r="19" spans="1:18" ht="63" customHeight="1" x14ac:dyDescent="0.3">
      <c r="A19" s="2"/>
      <c r="B19" s="820"/>
      <c r="C19" s="830"/>
      <c r="D19" s="836"/>
      <c r="E19" s="243" t="s">
        <v>306</v>
      </c>
      <c r="F19" s="243" t="s">
        <v>307</v>
      </c>
      <c r="G19" s="453" t="s">
        <v>308</v>
      </c>
      <c r="H19" s="250">
        <v>0.06</v>
      </c>
      <c r="I19" s="516">
        <v>2</v>
      </c>
      <c r="J19" s="71"/>
      <c r="K19" s="71"/>
      <c r="L19" s="71"/>
      <c r="M19" s="71"/>
      <c r="N19" s="150">
        <f t="shared" si="4"/>
        <v>0</v>
      </c>
      <c r="O19" s="82">
        <f t="shared" si="3"/>
        <v>0</v>
      </c>
      <c r="P19" s="36"/>
      <c r="Q19" s="36"/>
      <c r="R19" s="6" t="s">
        <v>297</v>
      </c>
    </row>
    <row r="20" spans="1:18" ht="67.5" customHeight="1" x14ac:dyDescent="0.3">
      <c r="A20" s="2"/>
      <c r="B20" s="820"/>
      <c r="C20" s="830"/>
      <c r="D20" s="836"/>
      <c r="E20" s="243" t="s">
        <v>309</v>
      </c>
      <c r="F20" s="243" t="s">
        <v>310</v>
      </c>
      <c r="G20" s="453" t="s">
        <v>311</v>
      </c>
      <c r="H20" s="250">
        <v>0.06</v>
      </c>
      <c r="I20" s="516">
        <v>90</v>
      </c>
      <c r="J20" s="71"/>
      <c r="K20" s="71"/>
      <c r="L20" s="71"/>
      <c r="M20" s="71"/>
      <c r="N20" s="150">
        <f t="shared" si="4"/>
        <v>0</v>
      </c>
      <c r="O20" s="82">
        <f t="shared" si="3"/>
        <v>0</v>
      </c>
      <c r="P20" s="36"/>
      <c r="Q20" s="36"/>
      <c r="R20" s="6" t="s">
        <v>297</v>
      </c>
    </row>
    <row r="21" spans="1:18" ht="54" customHeight="1" x14ac:dyDescent="0.3">
      <c r="A21" s="2"/>
      <c r="B21" s="820"/>
      <c r="C21" s="830"/>
      <c r="D21" s="837"/>
      <c r="E21" s="243" t="s">
        <v>312</v>
      </c>
      <c r="F21" s="243" t="s">
        <v>313</v>
      </c>
      <c r="G21" s="453" t="s">
        <v>314</v>
      </c>
      <c r="H21" s="251">
        <v>0.05</v>
      </c>
      <c r="I21" s="516">
        <v>70</v>
      </c>
      <c r="J21" s="71"/>
      <c r="K21" s="71"/>
      <c r="L21" s="71"/>
      <c r="M21" s="71"/>
      <c r="N21" s="150">
        <f t="shared" si="4"/>
        <v>0</v>
      </c>
      <c r="O21" s="82">
        <f t="shared" si="3"/>
        <v>0</v>
      </c>
      <c r="P21" s="37"/>
      <c r="Q21" s="37"/>
      <c r="R21" s="58" t="s">
        <v>315</v>
      </c>
    </row>
    <row r="22" spans="1:18" ht="16.8" thickTop="1" thickBot="1" x14ac:dyDescent="0.35">
      <c r="A22" s="2"/>
      <c r="B22" s="820"/>
      <c r="C22" s="830"/>
      <c r="D22" s="35"/>
      <c r="E22" s="29"/>
      <c r="F22" s="29"/>
      <c r="G22" s="29"/>
      <c r="H22" s="252">
        <f>SUM(H10:H21)</f>
        <v>1.0000000000000002</v>
      </c>
      <c r="I22" s="96"/>
      <c r="J22" s="38"/>
      <c r="K22" s="38"/>
      <c r="L22" s="838" t="s">
        <v>100</v>
      </c>
      <c r="M22" s="839"/>
      <c r="N22" s="840"/>
      <c r="O22" s="152" t="e">
        <f>SUM(O10:O21)</f>
        <v>#NAME?</v>
      </c>
      <c r="P22" s="26"/>
      <c r="Q22" s="26"/>
    </row>
    <row r="23" spans="1:18" ht="15.75" customHeight="1" thickTop="1" thickBot="1" x14ac:dyDescent="0.35">
      <c r="A23" s="2"/>
      <c r="B23" s="39" t="s">
        <v>175</v>
      </c>
      <c r="C23" s="40">
        <f>SUM(C2:C22)</f>
        <v>1</v>
      </c>
      <c r="D23" s="41" t="s">
        <v>101</v>
      </c>
      <c r="E23" s="42"/>
      <c r="F23" s="42"/>
      <c r="G23" s="42"/>
      <c r="H23" s="253"/>
      <c r="I23" s="42"/>
      <c r="J23" s="43"/>
      <c r="K23" s="43"/>
      <c r="L23" s="43"/>
      <c r="M23" s="43"/>
      <c r="N23" s="43"/>
      <c r="O23" s="69" t="e">
        <f>O6+O9+O22</f>
        <v>#VALUE!</v>
      </c>
      <c r="P23" s="43"/>
      <c r="Q23" s="43"/>
    </row>
    <row r="24" spans="1:18" ht="15.6" thickBot="1" x14ac:dyDescent="0.35">
      <c r="A24" s="2"/>
      <c r="B24" s="2"/>
      <c r="C24" s="4"/>
      <c r="D24" s="5"/>
      <c r="E24" s="44"/>
      <c r="F24" s="45"/>
      <c r="G24" s="45"/>
      <c r="H24" s="254"/>
      <c r="I24" s="4"/>
      <c r="J24" s="4"/>
      <c r="K24" s="4"/>
      <c r="L24" s="4"/>
      <c r="M24" s="4"/>
      <c r="N24" s="4"/>
      <c r="O24" s="4"/>
      <c r="P24" s="4"/>
      <c r="Q24" s="46"/>
    </row>
    <row r="25" spans="1:18" ht="19.5" customHeight="1" thickBot="1" x14ac:dyDescent="0.35">
      <c r="A25" s="2"/>
      <c r="B25" s="2"/>
      <c r="C25" s="322" t="s">
        <v>102</v>
      </c>
      <c r="D25" s="48"/>
      <c r="E25" s="49"/>
      <c r="F25" s="50"/>
      <c r="G25" s="323" t="s">
        <v>103</v>
      </c>
      <c r="H25" s="254"/>
      <c r="I25" s="4"/>
      <c r="J25" s="4"/>
      <c r="K25" s="4"/>
      <c r="L25" s="4"/>
      <c r="M25" s="4"/>
      <c r="N25" s="4"/>
      <c r="O25" s="4"/>
      <c r="P25" s="4"/>
      <c r="Q25" s="46"/>
    </row>
    <row r="26" spans="1:18" ht="16.2" thickBot="1" x14ac:dyDescent="0.35">
      <c r="A26" s="2"/>
      <c r="B26" s="2"/>
      <c r="C26" s="328" t="s">
        <v>104</v>
      </c>
      <c r="D26" s="325" t="s">
        <v>105</v>
      </c>
      <c r="E26" s="325" t="s">
        <v>106</v>
      </c>
      <c r="F26" s="74"/>
      <c r="G26" s="843"/>
      <c r="H26" s="844"/>
      <c r="I26" s="844"/>
      <c r="J26" s="844"/>
      <c r="K26" s="844"/>
      <c r="L26" s="844"/>
      <c r="M26" s="844"/>
      <c r="N26" s="844"/>
      <c r="O26" s="844"/>
      <c r="P26" s="844"/>
      <c r="Q26" s="845"/>
    </row>
    <row r="27" spans="1:18" ht="15.6" thickBot="1" x14ac:dyDescent="0.35">
      <c r="A27" s="2"/>
      <c r="B27" s="2"/>
      <c r="C27" s="324" t="s">
        <v>107</v>
      </c>
      <c r="D27" s="326" t="s">
        <v>316</v>
      </c>
      <c r="E27" s="327">
        <v>6</v>
      </c>
      <c r="F27" s="21"/>
      <c r="G27" s="846"/>
      <c r="H27" s="847"/>
      <c r="I27" s="847"/>
      <c r="J27" s="847"/>
      <c r="K27" s="847"/>
      <c r="L27" s="847"/>
      <c r="M27" s="847"/>
      <c r="N27" s="847"/>
      <c r="O27" s="847"/>
      <c r="P27" s="847"/>
      <c r="Q27" s="848"/>
    </row>
    <row r="28" spans="1:18" ht="15.6" thickBot="1" x14ac:dyDescent="0.35">
      <c r="A28" s="2"/>
      <c r="B28" s="2"/>
      <c r="C28" s="324" t="s">
        <v>109</v>
      </c>
      <c r="D28" s="326" t="s">
        <v>317</v>
      </c>
      <c r="E28" s="327">
        <v>5</v>
      </c>
      <c r="F28" s="21"/>
      <c r="G28" s="21"/>
      <c r="H28" s="254"/>
      <c r="I28" s="4"/>
      <c r="J28" s="4"/>
      <c r="K28" s="4"/>
      <c r="L28" s="4"/>
      <c r="M28" s="4"/>
      <c r="N28" s="4"/>
      <c r="O28" s="4"/>
      <c r="P28" s="4"/>
      <c r="Q28" s="46"/>
    </row>
    <row r="29" spans="1:18" ht="16.2" thickBot="1" x14ac:dyDescent="0.35">
      <c r="A29" s="2"/>
      <c r="B29" s="2"/>
      <c r="C29" s="324" t="s">
        <v>111</v>
      </c>
      <c r="D29" s="326" t="s">
        <v>112</v>
      </c>
      <c r="E29" s="327">
        <v>4</v>
      </c>
      <c r="F29" s="21"/>
      <c r="G29" s="323" t="s">
        <v>113</v>
      </c>
      <c r="H29" s="254"/>
      <c r="I29" s="4"/>
      <c r="J29" s="4"/>
      <c r="K29" s="4"/>
      <c r="L29" s="4"/>
      <c r="M29" s="4"/>
      <c r="N29" s="4"/>
      <c r="O29" s="4"/>
      <c r="P29" s="4"/>
      <c r="Q29" s="46"/>
    </row>
    <row r="30" spans="1:18" x14ac:dyDescent="0.3">
      <c r="A30" s="2"/>
      <c r="B30" s="2"/>
      <c r="C30" s="324" t="s">
        <v>114</v>
      </c>
      <c r="D30" s="326" t="s">
        <v>318</v>
      </c>
      <c r="E30" s="327">
        <v>3</v>
      </c>
      <c r="F30" s="21"/>
      <c r="G30" s="810"/>
      <c r="H30" s="811"/>
      <c r="I30" s="811"/>
      <c r="J30" s="811"/>
      <c r="K30" s="811"/>
      <c r="L30" s="811"/>
      <c r="M30" s="811"/>
      <c r="N30" s="811"/>
      <c r="O30" s="811"/>
      <c r="P30" s="811"/>
      <c r="Q30" s="812"/>
    </row>
    <row r="31" spans="1:18" ht="23.4" thickBot="1" x14ac:dyDescent="0.35">
      <c r="A31" s="2"/>
      <c r="B31" s="2"/>
      <c r="C31" s="324" t="s">
        <v>116</v>
      </c>
      <c r="D31" s="326" t="s">
        <v>117</v>
      </c>
      <c r="E31" s="327">
        <v>2</v>
      </c>
      <c r="F31" s="21"/>
      <c r="G31" s="813"/>
      <c r="H31" s="814"/>
      <c r="I31" s="814"/>
      <c r="J31" s="814"/>
      <c r="K31" s="814"/>
      <c r="L31" s="814"/>
      <c r="M31" s="814"/>
      <c r="N31" s="814"/>
      <c r="O31" s="814"/>
      <c r="P31" s="814"/>
      <c r="Q31" s="815"/>
    </row>
    <row r="32" spans="1:18" ht="15.6" thickBot="1" x14ac:dyDescent="0.35">
      <c r="A32" s="2"/>
      <c r="B32" s="2"/>
      <c r="C32" s="326" t="s">
        <v>118</v>
      </c>
      <c r="D32" s="326" t="s">
        <v>119</v>
      </c>
      <c r="E32" s="327">
        <v>1</v>
      </c>
      <c r="F32" s="21"/>
      <c r="G32" s="816"/>
      <c r="H32" s="817"/>
      <c r="I32" s="817"/>
      <c r="J32" s="817"/>
      <c r="K32" s="817"/>
      <c r="L32" s="817"/>
      <c r="M32" s="817"/>
      <c r="N32" s="817"/>
      <c r="O32" s="817"/>
      <c r="P32" s="817"/>
      <c r="Q32" s="818"/>
    </row>
    <row r="33" spans="1:17" x14ac:dyDescent="0.3">
      <c r="A33" s="2"/>
      <c r="B33" s="2"/>
      <c r="C33" s="4"/>
      <c r="D33" s="5"/>
      <c r="H33" s="254"/>
      <c r="I33" s="4"/>
      <c r="J33" s="4"/>
      <c r="K33" s="4"/>
      <c r="L33" s="4"/>
      <c r="M33" s="4"/>
      <c r="N33" s="4"/>
      <c r="O33" s="4"/>
      <c r="P33" s="4"/>
      <c r="Q33" s="46"/>
    </row>
    <row r="34" spans="1:17" x14ac:dyDescent="0.3">
      <c r="A34" s="2"/>
      <c r="B34" s="2"/>
      <c r="C34" s="4"/>
      <c r="D34" s="5"/>
      <c r="H34" s="254"/>
      <c r="I34" s="4"/>
      <c r="J34" s="4"/>
      <c r="K34" s="4"/>
      <c r="L34" s="4"/>
      <c r="M34" s="4"/>
      <c r="N34" s="4"/>
      <c r="O34" s="4"/>
      <c r="P34" s="4"/>
      <c r="Q34" s="46"/>
    </row>
    <row r="35" spans="1:17" ht="15.6" x14ac:dyDescent="0.3">
      <c r="A35" s="2"/>
      <c r="B35" s="2"/>
      <c r="C35" s="59" t="s">
        <v>120</v>
      </c>
      <c r="D35" s="60"/>
      <c r="E35" s="61"/>
      <c r="F35" s="61"/>
      <c r="G35" s="61"/>
      <c r="H35" s="254"/>
      <c r="I35" s="62"/>
      <c r="J35" s="4"/>
      <c r="K35" s="4"/>
      <c r="L35" s="4"/>
      <c r="M35" s="4"/>
      <c r="N35" s="4"/>
      <c r="O35" s="4"/>
      <c r="P35" s="4"/>
      <c r="Q35" s="4"/>
    </row>
    <row r="36" spans="1:17" ht="15.6" x14ac:dyDescent="0.3">
      <c r="A36" s="2"/>
      <c r="B36" s="2"/>
      <c r="C36" s="59"/>
      <c r="D36" s="60"/>
      <c r="E36" s="61"/>
      <c r="F36" s="61"/>
      <c r="G36" s="61"/>
      <c r="H36" s="254"/>
      <c r="I36" s="62"/>
      <c r="J36" s="4"/>
      <c r="K36" s="4"/>
      <c r="L36" s="4"/>
      <c r="M36" s="4"/>
      <c r="N36" s="4"/>
      <c r="O36" s="4"/>
      <c r="P36" s="4"/>
      <c r="Q36" s="4"/>
    </row>
    <row r="37" spans="1:17" ht="15.6" x14ac:dyDescent="0.3">
      <c r="A37" s="2"/>
      <c r="B37" s="2"/>
      <c r="C37" s="62"/>
      <c r="D37" s="5"/>
      <c r="E37" s="60"/>
      <c r="F37" s="60"/>
      <c r="G37" s="60"/>
      <c r="H37" s="254"/>
      <c r="I37" s="62"/>
      <c r="J37" s="4"/>
      <c r="K37" s="4"/>
      <c r="L37" s="4"/>
      <c r="M37" s="4"/>
      <c r="N37" s="4"/>
      <c r="O37" s="4"/>
      <c r="P37" s="4"/>
      <c r="Q37" s="4"/>
    </row>
    <row r="38" spans="1:17" ht="15.6" x14ac:dyDescent="0.3">
      <c r="A38" s="2"/>
      <c r="B38" s="2"/>
      <c r="C38" s="63" t="s">
        <v>121</v>
      </c>
      <c r="D38" s="64"/>
      <c r="E38" s="60"/>
      <c r="F38" s="60"/>
      <c r="G38" s="60"/>
      <c r="H38" s="254"/>
      <c r="I38" s="65"/>
      <c r="J38" s="4"/>
      <c r="K38" s="4"/>
      <c r="L38" s="4"/>
      <c r="M38" s="4"/>
      <c r="N38" s="4"/>
      <c r="O38" s="4"/>
      <c r="P38" s="4"/>
      <c r="Q38" s="4"/>
    </row>
    <row r="39" spans="1:17" x14ac:dyDescent="0.3">
      <c r="A39" s="2"/>
      <c r="B39" s="2"/>
      <c r="C39" s="62"/>
      <c r="D39" s="5"/>
      <c r="E39" s="5"/>
      <c r="F39" s="5"/>
      <c r="G39" s="5"/>
      <c r="H39" s="254"/>
      <c r="I39" s="62"/>
      <c r="J39" s="4"/>
      <c r="K39" s="4"/>
      <c r="L39" s="4"/>
      <c r="M39" s="4"/>
      <c r="N39" s="4"/>
      <c r="O39" s="4"/>
      <c r="P39" s="4"/>
      <c r="Q39" s="4"/>
    </row>
    <row r="40" spans="1:17" ht="15.6" x14ac:dyDescent="0.3">
      <c r="A40" s="2"/>
      <c r="B40" s="2"/>
      <c r="C40" s="4"/>
      <c r="D40" s="5"/>
      <c r="E40" s="64"/>
      <c r="F40" s="64"/>
      <c r="G40" s="64"/>
      <c r="H40" s="254"/>
      <c r="I40" s="4"/>
      <c r="J40" s="4"/>
      <c r="K40" s="4"/>
      <c r="L40" s="4"/>
      <c r="M40" s="4"/>
      <c r="N40" s="4"/>
      <c r="O40" s="4"/>
      <c r="P40" s="4"/>
      <c r="Q40" s="46"/>
    </row>
    <row r="41" spans="1:17" x14ac:dyDescent="0.3">
      <c r="E41" s="5"/>
      <c r="F41" s="5"/>
      <c r="G41" s="5"/>
    </row>
    <row r="42" spans="1:17" x14ac:dyDescent="0.3">
      <c r="E42" s="61"/>
      <c r="F42" s="61"/>
      <c r="G42" s="61"/>
    </row>
  </sheetData>
  <mergeCells count="16">
    <mergeCell ref="B2:B5"/>
    <mergeCell ref="C2:C6"/>
    <mergeCell ref="D2:D5"/>
    <mergeCell ref="L6:N6"/>
    <mergeCell ref="G26:Q27"/>
    <mergeCell ref="G30:Q32"/>
    <mergeCell ref="B7:B9"/>
    <mergeCell ref="C7:C9"/>
    <mergeCell ref="D7:D8"/>
    <mergeCell ref="L9:N9"/>
    <mergeCell ref="B10:B22"/>
    <mergeCell ref="C10:C22"/>
    <mergeCell ref="D10:D13"/>
    <mergeCell ref="D14:D17"/>
    <mergeCell ref="D18:D21"/>
    <mergeCell ref="L22:N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F4A5-C089-40C9-8DBC-3BDFC67A56A8}">
  <dimension ref="B1:O16"/>
  <sheetViews>
    <sheetView workbookViewId="0">
      <selection activeCell="F7" sqref="F7"/>
    </sheetView>
  </sheetViews>
  <sheetFormatPr defaultRowHeight="14.4" x14ac:dyDescent="0.3"/>
  <cols>
    <col min="1" max="1" width="3.77734375" customWidth="1"/>
    <col min="4" max="4" width="16.5546875" customWidth="1"/>
    <col min="5" max="5" width="26.88671875" customWidth="1"/>
    <col min="6" max="6" width="36.33203125" customWidth="1"/>
    <col min="7" max="7" width="11.6640625" customWidth="1"/>
    <col min="8" max="8" width="7.44140625" style="233" customWidth="1"/>
    <col min="9" max="9" width="22.77734375" customWidth="1"/>
  </cols>
  <sheetData>
    <row r="1" spans="2:15" x14ac:dyDescent="0.3">
      <c r="B1" s="257" t="s">
        <v>319</v>
      </c>
    </row>
    <row r="2" spans="2:15" ht="36.6" x14ac:dyDescent="0.3">
      <c r="B2" s="263" t="s">
        <v>320</v>
      </c>
      <c r="C2" s="264" t="s">
        <v>321</v>
      </c>
      <c r="D2" s="264" t="s">
        <v>127</v>
      </c>
      <c r="E2" s="264" t="s">
        <v>322</v>
      </c>
      <c r="F2" s="264" t="s">
        <v>323</v>
      </c>
      <c r="G2" s="264" t="s">
        <v>130</v>
      </c>
      <c r="H2" s="265" t="s">
        <v>4</v>
      </c>
      <c r="I2" s="264" t="s">
        <v>68</v>
      </c>
      <c r="J2" s="266" t="s">
        <v>131</v>
      </c>
      <c r="K2" s="266" t="s">
        <v>132</v>
      </c>
      <c r="L2" s="266" t="s">
        <v>133</v>
      </c>
      <c r="M2" s="266" t="s">
        <v>134</v>
      </c>
      <c r="N2" s="268" t="s">
        <v>135</v>
      </c>
      <c r="O2" s="267" t="s">
        <v>74</v>
      </c>
    </row>
    <row r="3" spans="2:15" ht="48" x14ac:dyDescent="0.3">
      <c r="B3" s="849" t="s">
        <v>177</v>
      </c>
      <c r="C3" s="852">
        <v>0.2</v>
      </c>
      <c r="D3" s="260" t="s">
        <v>324</v>
      </c>
      <c r="E3" s="260" t="s">
        <v>325</v>
      </c>
      <c r="F3" s="260" t="s">
        <v>326</v>
      </c>
      <c r="G3" s="261" t="s">
        <v>327</v>
      </c>
      <c r="H3" s="262">
        <v>0.4</v>
      </c>
      <c r="I3" s="260" t="s">
        <v>328</v>
      </c>
      <c r="J3" s="269"/>
      <c r="K3" s="269"/>
      <c r="L3" s="269"/>
      <c r="M3" s="269"/>
      <c r="N3" s="307"/>
      <c r="O3" s="269"/>
    </row>
    <row r="4" spans="2:15" ht="24" x14ac:dyDescent="0.3">
      <c r="B4" s="850"/>
      <c r="C4" s="853"/>
      <c r="D4" s="261"/>
      <c r="E4" s="260" t="s">
        <v>329</v>
      </c>
      <c r="F4" s="260" t="s">
        <v>330</v>
      </c>
      <c r="G4" s="261" t="s">
        <v>331</v>
      </c>
      <c r="H4" s="262">
        <v>0.3</v>
      </c>
      <c r="I4" s="260" t="s">
        <v>332</v>
      </c>
      <c r="J4" s="269"/>
      <c r="K4" s="269"/>
      <c r="L4" s="269"/>
      <c r="M4" s="269"/>
      <c r="N4" s="307"/>
      <c r="O4" s="269"/>
    </row>
    <row r="5" spans="2:15" ht="40.5" customHeight="1" thickBot="1" x14ac:dyDescent="0.35">
      <c r="B5" s="850"/>
      <c r="C5" s="854"/>
      <c r="D5" s="294"/>
      <c r="E5" s="295" t="s">
        <v>333</v>
      </c>
      <c r="F5" s="295" t="s">
        <v>334</v>
      </c>
      <c r="G5" s="294" t="s">
        <v>335</v>
      </c>
      <c r="H5" s="296">
        <v>0.3</v>
      </c>
      <c r="I5" s="295" t="s">
        <v>336</v>
      </c>
      <c r="J5" s="297"/>
      <c r="K5" s="297"/>
      <c r="L5" s="297"/>
      <c r="M5" s="297"/>
      <c r="N5" s="308"/>
      <c r="O5" s="297"/>
    </row>
    <row r="6" spans="2:15" ht="16.5" customHeight="1" thickBot="1" x14ac:dyDescent="0.35">
      <c r="B6" s="851"/>
      <c r="C6" s="261"/>
      <c r="D6" s="302"/>
      <c r="E6" s="303"/>
      <c r="F6" s="303"/>
      <c r="G6" s="302"/>
      <c r="H6" s="304">
        <f>SUM(H3:H5)</f>
        <v>1</v>
      </c>
      <c r="I6" s="303"/>
      <c r="J6" s="305"/>
      <c r="K6" s="305"/>
      <c r="L6" s="305"/>
      <c r="M6" s="305"/>
      <c r="N6" s="309"/>
      <c r="O6" s="321">
        <f>SUM(O3:O5)</f>
        <v>0</v>
      </c>
    </row>
    <row r="7" spans="2:15" ht="48" x14ac:dyDescent="0.3">
      <c r="B7" s="849" t="s">
        <v>182</v>
      </c>
      <c r="C7" s="852">
        <v>0.6</v>
      </c>
      <c r="D7" s="298" t="s">
        <v>337</v>
      </c>
      <c r="E7" s="298" t="s">
        <v>338</v>
      </c>
      <c r="F7" s="298" t="s">
        <v>339</v>
      </c>
      <c r="G7" s="299" t="s">
        <v>340</v>
      </c>
      <c r="H7" s="300">
        <v>0.3</v>
      </c>
      <c r="I7" s="298" t="s">
        <v>341</v>
      </c>
      <c r="J7" s="301"/>
      <c r="K7" s="301"/>
      <c r="L7" s="301"/>
      <c r="M7" s="301"/>
      <c r="N7" s="310"/>
      <c r="O7" s="301"/>
    </row>
    <row r="8" spans="2:15" ht="48" x14ac:dyDescent="0.3">
      <c r="B8" s="850"/>
      <c r="C8" s="853"/>
      <c r="D8" s="261"/>
      <c r="E8" s="260" t="s">
        <v>342</v>
      </c>
      <c r="F8" s="260" t="s">
        <v>343</v>
      </c>
      <c r="G8" s="261" t="s">
        <v>344</v>
      </c>
      <c r="H8" s="262">
        <v>0.25</v>
      </c>
      <c r="I8" s="260" t="s">
        <v>345</v>
      </c>
      <c r="J8" s="269"/>
      <c r="K8" s="269"/>
      <c r="L8" s="269"/>
      <c r="M8" s="269"/>
      <c r="N8" s="307"/>
      <c r="O8" s="269"/>
    </row>
    <row r="9" spans="2:15" ht="36" x14ac:dyDescent="0.3">
      <c r="B9" s="850"/>
      <c r="C9" s="853"/>
      <c r="D9" s="261"/>
      <c r="E9" s="260" t="s">
        <v>346</v>
      </c>
      <c r="F9" s="260" t="s">
        <v>347</v>
      </c>
      <c r="G9" s="261" t="s">
        <v>348</v>
      </c>
      <c r="H9" s="262">
        <v>0.25</v>
      </c>
      <c r="I9" s="260" t="s">
        <v>349</v>
      </c>
      <c r="J9" s="269"/>
      <c r="K9" s="269"/>
      <c r="L9" s="269"/>
      <c r="M9" s="269"/>
      <c r="N9" s="307"/>
      <c r="O9" s="269"/>
    </row>
    <row r="10" spans="2:15" ht="36.6" thickBot="1" x14ac:dyDescent="0.35">
      <c r="B10" s="850"/>
      <c r="C10" s="853"/>
      <c r="D10" s="294"/>
      <c r="E10" s="295" t="s">
        <v>350</v>
      </c>
      <c r="F10" s="295" t="s">
        <v>351</v>
      </c>
      <c r="G10" s="294" t="s">
        <v>352</v>
      </c>
      <c r="H10" s="296">
        <v>0.2</v>
      </c>
      <c r="I10" s="295" t="s">
        <v>353</v>
      </c>
      <c r="J10" s="297"/>
      <c r="K10" s="297"/>
      <c r="L10" s="297"/>
      <c r="M10" s="297"/>
      <c r="N10" s="308"/>
      <c r="O10" s="297"/>
    </row>
    <row r="11" spans="2:15" ht="15" thickBot="1" x14ac:dyDescent="0.35">
      <c r="B11" s="306"/>
      <c r="C11" s="302"/>
      <c r="D11" s="302"/>
      <c r="E11" s="303"/>
      <c r="F11" s="303"/>
      <c r="G11" s="302"/>
      <c r="H11" s="304">
        <f>SUM(H7:H10)</f>
        <v>1</v>
      </c>
      <c r="I11" s="303"/>
      <c r="J11" s="305"/>
      <c r="K11" s="305"/>
      <c r="L11" s="305"/>
      <c r="M11" s="305"/>
      <c r="N11" s="309"/>
      <c r="O11" s="321">
        <f>SUM(O7:O10)</f>
        <v>0</v>
      </c>
    </row>
    <row r="12" spans="2:15" ht="48" x14ac:dyDescent="0.3">
      <c r="B12" s="850" t="s">
        <v>204</v>
      </c>
      <c r="C12" s="853">
        <v>0.2</v>
      </c>
      <c r="D12" s="298" t="s">
        <v>354</v>
      </c>
      <c r="E12" s="298" t="s">
        <v>355</v>
      </c>
      <c r="F12" s="298" t="s">
        <v>356</v>
      </c>
      <c r="G12" s="299" t="s">
        <v>357</v>
      </c>
      <c r="H12" s="300">
        <v>0.4</v>
      </c>
      <c r="I12" s="298" t="s">
        <v>358</v>
      </c>
      <c r="J12" s="301"/>
      <c r="K12" s="301"/>
      <c r="L12" s="301"/>
      <c r="M12" s="301"/>
      <c r="N12" s="310"/>
      <c r="O12" s="301"/>
    </row>
    <row r="13" spans="2:15" ht="36" x14ac:dyDescent="0.3">
      <c r="B13" s="850"/>
      <c r="C13" s="853"/>
      <c r="D13" s="261"/>
      <c r="E13" s="260" t="s">
        <v>359</v>
      </c>
      <c r="F13" s="260" t="s">
        <v>360</v>
      </c>
      <c r="G13" s="261" t="s">
        <v>361</v>
      </c>
      <c r="H13" s="262">
        <v>0.3</v>
      </c>
      <c r="I13" s="260" t="s">
        <v>362</v>
      </c>
      <c r="J13" s="269"/>
      <c r="K13" s="269"/>
      <c r="L13" s="269"/>
      <c r="M13" s="269"/>
      <c r="N13" s="307"/>
      <c r="O13" s="269"/>
    </row>
    <row r="14" spans="2:15" ht="41.25" customHeight="1" thickBot="1" x14ac:dyDescent="0.35">
      <c r="B14" s="850"/>
      <c r="C14" s="853"/>
      <c r="D14" s="294"/>
      <c r="E14" s="295" t="s">
        <v>363</v>
      </c>
      <c r="F14" s="295" t="s">
        <v>364</v>
      </c>
      <c r="G14" s="294" t="s">
        <v>365</v>
      </c>
      <c r="H14" s="296">
        <v>0.3</v>
      </c>
      <c r="I14" s="295" t="s">
        <v>366</v>
      </c>
      <c r="J14" s="297"/>
      <c r="K14" s="297"/>
      <c r="L14" s="297"/>
      <c r="M14" s="297"/>
      <c r="N14" s="308"/>
      <c r="O14" s="297"/>
    </row>
    <row r="15" spans="2:15" ht="16.5" customHeight="1" x14ac:dyDescent="0.3">
      <c r="B15" s="311"/>
      <c r="C15" s="312"/>
      <c r="D15" s="312"/>
      <c r="E15" s="313"/>
      <c r="F15" s="313"/>
      <c r="G15" s="312"/>
      <c r="H15" s="314">
        <f>SUM(H12:H14)</f>
        <v>1</v>
      </c>
      <c r="I15" s="313"/>
      <c r="J15" s="315"/>
      <c r="K15" s="315"/>
      <c r="L15" s="315"/>
      <c r="M15" s="315"/>
      <c r="N15" s="316"/>
      <c r="O15" s="320">
        <f>SUM(O12:O14)</f>
        <v>0</v>
      </c>
    </row>
    <row r="16" spans="2:15" ht="15.6" x14ac:dyDescent="0.3">
      <c r="B16" s="317" t="s">
        <v>101</v>
      </c>
      <c r="C16" s="318"/>
      <c r="D16" s="318"/>
      <c r="E16" s="318"/>
      <c r="F16" s="318"/>
      <c r="G16" s="318"/>
      <c r="H16" s="319"/>
      <c r="I16" s="318"/>
      <c r="J16" s="318"/>
      <c r="K16" s="318"/>
      <c r="L16" s="318"/>
      <c r="M16" s="318"/>
      <c r="N16" s="318"/>
      <c r="O16" s="319">
        <f>O6+O11+O15</f>
        <v>0</v>
      </c>
    </row>
  </sheetData>
  <mergeCells count="6">
    <mergeCell ref="B3:B6"/>
    <mergeCell ref="B7:B10"/>
    <mergeCell ref="C7:C10"/>
    <mergeCell ref="C3:C5"/>
    <mergeCell ref="B12:B14"/>
    <mergeCell ref="C12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8D3F-54BA-4170-A62D-1BA24A95C513}">
  <dimension ref="A1:Q50"/>
  <sheetViews>
    <sheetView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" sqref="E1"/>
    </sheetView>
  </sheetViews>
  <sheetFormatPr defaultColWidth="9.109375" defaultRowHeight="15" x14ac:dyDescent="0.3"/>
  <cols>
    <col min="1" max="1" width="2.77734375" style="6" customWidth="1"/>
    <col min="2" max="2" width="8.21875" style="6" customWidth="1"/>
    <col min="3" max="3" width="15.44140625" style="6" customWidth="1"/>
    <col min="4" max="4" width="19.33203125" style="58" customWidth="1"/>
    <col min="5" max="5" width="26.33203125" style="58" customWidth="1"/>
    <col min="6" max="6" width="18.109375" style="58" customWidth="1"/>
    <col min="7" max="7" width="12.33203125" style="58" customWidth="1"/>
    <col min="8" max="8" width="11.44140625" style="66" customWidth="1"/>
    <col min="9" max="9" width="12.33203125" style="6" customWidth="1"/>
    <col min="10" max="10" width="11.44140625" style="66" customWidth="1"/>
    <col min="11" max="11" width="12.6640625" style="66" customWidth="1"/>
    <col min="12" max="12" width="12" style="66" customWidth="1"/>
    <col min="13" max="13" width="11.44140625" style="66" customWidth="1"/>
    <col min="14" max="15" width="10.77734375" style="66" customWidth="1"/>
    <col min="16" max="16" width="10.21875" style="66" hidden="1" customWidth="1"/>
    <col min="17" max="17" width="14.109375" style="66" hidden="1" customWidth="1"/>
    <col min="18" max="16384" width="9.109375" style="6"/>
  </cols>
  <sheetData>
    <row r="1" spans="1:17" ht="15.6" x14ac:dyDescent="0.3">
      <c r="A1" s="2"/>
      <c r="B1" s="3"/>
      <c r="C1" s="185" t="s">
        <v>367</v>
      </c>
      <c r="D1" s="5"/>
      <c r="E1" s="862" t="s">
        <v>368</v>
      </c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</row>
    <row r="2" spans="1:17" ht="15.6" x14ac:dyDescent="0.3">
      <c r="A2" s="2"/>
      <c r="B2" s="7"/>
      <c r="C2" s="8"/>
      <c r="D2" s="9" t="s">
        <v>369</v>
      </c>
      <c r="E2" s="863" t="s">
        <v>370</v>
      </c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5"/>
      <c r="Q2" s="10"/>
    </row>
    <row r="3" spans="1:17" ht="15.6" x14ac:dyDescent="0.3">
      <c r="A3" s="2"/>
      <c r="B3" s="7"/>
      <c r="C3" s="8"/>
      <c r="D3" s="9" t="s">
        <v>122</v>
      </c>
      <c r="E3" s="866" t="s">
        <v>371</v>
      </c>
      <c r="F3" s="867"/>
      <c r="G3" s="867"/>
      <c r="H3" s="867"/>
      <c r="I3" s="867"/>
      <c r="J3" s="867"/>
      <c r="K3" s="867"/>
      <c r="L3" s="867"/>
      <c r="M3" s="867"/>
      <c r="N3" s="867"/>
      <c r="O3" s="867"/>
      <c r="P3" s="868"/>
      <c r="Q3" s="11" t="s">
        <v>124</v>
      </c>
    </row>
    <row r="4" spans="1:17" ht="15.6" x14ac:dyDescent="0.3">
      <c r="A4" s="2"/>
      <c r="B4" s="7"/>
      <c r="C4" s="8"/>
      <c r="D4" s="9" t="s">
        <v>372</v>
      </c>
      <c r="E4" s="863" t="s">
        <v>373</v>
      </c>
      <c r="F4" s="864"/>
      <c r="G4" s="864"/>
      <c r="H4" s="864"/>
      <c r="I4" s="864"/>
      <c r="J4" s="864"/>
      <c r="K4" s="864"/>
      <c r="L4" s="864"/>
      <c r="M4" s="864"/>
      <c r="N4" s="864"/>
      <c r="O4" s="864"/>
      <c r="P4" s="864"/>
      <c r="Q4" s="12"/>
    </row>
    <row r="5" spans="1:17" s="80" customFormat="1" ht="66.599999999999994" x14ac:dyDescent="0.3">
      <c r="A5" s="75"/>
      <c r="B5" s="184" t="s">
        <v>125</v>
      </c>
      <c r="C5" s="76" t="s">
        <v>126</v>
      </c>
      <c r="D5" s="77" t="s">
        <v>127</v>
      </c>
      <c r="E5" s="76" t="s">
        <v>128</v>
      </c>
      <c r="F5" s="76" t="s">
        <v>129</v>
      </c>
      <c r="G5" s="76" t="s">
        <v>130</v>
      </c>
      <c r="H5" s="78" t="s">
        <v>4</v>
      </c>
      <c r="I5" s="78" t="s">
        <v>68</v>
      </c>
      <c r="J5" s="76" t="s">
        <v>131</v>
      </c>
      <c r="K5" s="76" t="s">
        <v>132</v>
      </c>
      <c r="L5" s="76" t="s">
        <v>133</v>
      </c>
      <c r="M5" s="76" t="s">
        <v>134</v>
      </c>
      <c r="N5" s="79" t="s">
        <v>135</v>
      </c>
      <c r="O5" s="79" t="s">
        <v>74</v>
      </c>
      <c r="P5" s="79"/>
      <c r="Q5" s="79"/>
    </row>
    <row r="6" spans="1:17" ht="15.6" x14ac:dyDescent="0.3">
      <c r="A6" s="13"/>
      <c r="B6" s="820" t="s">
        <v>136</v>
      </c>
      <c r="C6" s="823">
        <v>0.2</v>
      </c>
      <c r="D6" s="869" t="s">
        <v>137</v>
      </c>
      <c r="E6" s="14"/>
      <c r="F6" s="14"/>
      <c r="G6" s="15"/>
      <c r="H6" s="85"/>
      <c r="I6" s="92"/>
      <c r="J6" s="16"/>
      <c r="K6" s="16"/>
      <c r="L6" s="16"/>
      <c r="M6" s="16"/>
      <c r="N6" s="81"/>
      <c r="O6" s="82"/>
      <c r="P6" s="81"/>
      <c r="Q6" s="81"/>
    </row>
    <row r="7" spans="1:17" ht="35.25" customHeight="1" x14ac:dyDescent="0.3">
      <c r="A7" s="13"/>
      <c r="B7" s="820"/>
      <c r="C7" s="823"/>
      <c r="D7" s="869"/>
      <c r="E7" s="18" t="s">
        <v>138</v>
      </c>
      <c r="F7" s="18"/>
      <c r="G7" s="19"/>
      <c r="H7" s="86">
        <v>0.5</v>
      </c>
      <c r="I7" s="93">
        <v>10</v>
      </c>
      <c r="J7" s="70">
        <v>2</v>
      </c>
      <c r="K7" s="70"/>
      <c r="L7" s="70">
        <v>1</v>
      </c>
      <c r="M7" s="70">
        <v>2</v>
      </c>
      <c r="N7" s="153">
        <f>SUM(J7:M7)</f>
        <v>5</v>
      </c>
      <c r="O7" s="83">
        <f>(N7/I7)*H7*C6</f>
        <v>0.05</v>
      </c>
      <c r="P7" s="81"/>
      <c r="Q7" s="81"/>
    </row>
    <row r="8" spans="1:17" ht="35.25" customHeight="1" x14ac:dyDescent="0.3">
      <c r="A8" s="13"/>
      <c r="B8" s="820"/>
      <c r="C8" s="823"/>
      <c r="D8" s="869"/>
      <c r="E8" s="18" t="s">
        <v>374</v>
      </c>
      <c r="F8" s="18"/>
      <c r="G8" s="19"/>
      <c r="H8" s="86">
        <v>0.3</v>
      </c>
      <c r="I8" s="93">
        <v>6</v>
      </c>
      <c r="J8" s="70">
        <v>0</v>
      </c>
      <c r="K8" s="70">
        <v>3</v>
      </c>
      <c r="L8" s="70">
        <v>0</v>
      </c>
      <c r="M8" s="70">
        <v>3</v>
      </c>
      <c r="N8" s="153">
        <f t="shared" ref="N8:N9" si="0">SUM(J8:M8)</f>
        <v>6</v>
      </c>
      <c r="O8" s="83">
        <f>(N8/I8)*H8*C6</f>
        <v>0.06</v>
      </c>
      <c r="P8" s="81"/>
      <c r="Q8" s="81"/>
    </row>
    <row r="9" spans="1:17" ht="38.25" customHeight="1" x14ac:dyDescent="0.3">
      <c r="A9" s="13"/>
      <c r="B9" s="820"/>
      <c r="C9" s="823"/>
      <c r="D9" s="870"/>
      <c r="E9" s="18" t="s">
        <v>375</v>
      </c>
      <c r="F9" s="18"/>
      <c r="G9" s="19"/>
      <c r="H9" s="86">
        <v>0.2</v>
      </c>
      <c r="I9" s="93">
        <v>12</v>
      </c>
      <c r="J9" s="70">
        <v>3</v>
      </c>
      <c r="K9" s="70">
        <v>5</v>
      </c>
      <c r="L9" s="70">
        <v>3</v>
      </c>
      <c r="M9" s="70">
        <v>1</v>
      </c>
      <c r="N9" s="153">
        <f t="shared" si="0"/>
        <v>12</v>
      </c>
      <c r="O9" s="83">
        <f>(N9/I9)*H9*C6</f>
        <v>4.0000000000000008E-2</v>
      </c>
      <c r="P9" s="81"/>
      <c r="Q9" s="81"/>
    </row>
    <row r="10" spans="1:17" ht="15.6" x14ac:dyDescent="0.3">
      <c r="A10" s="13"/>
      <c r="B10" s="820"/>
      <c r="C10" s="823"/>
      <c r="D10" s="72"/>
      <c r="E10" s="73"/>
      <c r="F10" s="73"/>
      <c r="G10" s="19"/>
      <c r="H10" s="87"/>
      <c r="I10" s="94"/>
      <c r="J10" s="20"/>
      <c r="K10" s="20"/>
      <c r="L10" s="20"/>
      <c r="M10" s="20"/>
      <c r="N10" s="17"/>
      <c r="O10" s="84"/>
      <c r="P10" s="17"/>
      <c r="Q10" s="17"/>
    </row>
    <row r="11" spans="1:17" ht="16.2" thickBot="1" x14ac:dyDescent="0.35">
      <c r="A11" s="13"/>
      <c r="B11" s="183"/>
      <c r="C11" s="824"/>
      <c r="D11" s="22"/>
      <c r="E11" s="23"/>
      <c r="F11" s="23"/>
      <c r="G11" s="24"/>
      <c r="H11" s="88">
        <f>SUM(H6:H10)</f>
        <v>1</v>
      </c>
      <c r="I11" s="95"/>
      <c r="J11" s="25"/>
      <c r="K11" s="25"/>
      <c r="L11" s="838" t="s">
        <v>84</v>
      </c>
      <c r="M11" s="839"/>
      <c r="N11" s="840"/>
      <c r="O11" s="152">
        <f>SUM(O7:O9)</f>
        <v>0.15000000000000002</v>
      </c>
      <c r="P11" s="26"/>
      <c r="Q11" s="26"/>
    </row>
    <row r="12" spans="1:17" ht="33" customHeight="1" thickTop="1" x14ac:dyDescent="0.3">
      <c r="A12" s="2"/>
      <c r="B12" s="819" t="s">
        <v>182</v>
      </c>
      <c r="C12" s="822">
        <v>0.6</v>
      </c>
      <c r="D12" s="855" t="s">
        <v>376</v>
      </c>
      <c r="E12" s="27" t="s">
        <v>377</v>
      </c>
      <c r="F12" s="27"/>
      <c r="G12" s="15"/>
      <c r="H12" s="89">
        <v>0.08</v>
      </c>
      <c r="I12" s="93">
        <v>10</v>
      </c>
      <c r="J12" s="71">
        <v>2</v>
      </c>
      <c r="K12" s="71">
        <v>1</v>
      </c>
      <c r="L12" s="71">
        <v>3</v>
      </c>
      <c r="M12" s="71">
        <v>3</v>
      </c>
      <c r="N12" s="154">
        <f>SUM(J12:M12)</f>
        <v>9</v>
      </c>
      <c r="O12" s="149">
        <f>(N12/I12)*H12*$C$12</f>
        <v>4.3200000000000002E-2</v>
      </c>
      <c r="P12" s="28"/>
      <c r="Q12" s="28"/>
    </row>
    <row r="13" spans="1:17" ht="30" customHeight="1" x14ac:dyDescent="0.3">
      <c r="A13" s="2"/>
      <c r="B13" s="820"/>
      <c r="C13" s="823"/>
      <c r="D13" s="842"/>
      <c r="E13" s="29" t="s">
        <v>374</v>
      </c>
      <c r="F13" s="29"/>
      <c r="G13" s="30"/>
      <c r="H13" s="86">
        <v>0.08</v>
      </c>
      <c r="I13" s="93">
        <v>8</v>
      </c>
      <c r="J13" s="71">
        <v>0</v>
      </c>
      <c r="K13" s="71">
        <v>3</v>
      </c>
      <c r="L13" s="71">
        <v>2</v>
      </c>
      <c r="M13" s="71">
        <v>2</v>
      </c>
      <c r="N13" s="154">
        <f t="shared" ref="N13:N22" si="1">SUM(J13:M13)</f>
        <v>7</v>
      </c>
      <c r="O13" s="149">
        <f t="shared" ref="O13:O22" si="2">(N13/I13)*H13*$C$12</f>
        <v>4.2000000000000003E-2</v>
      </c>
      <c r="P13" s="28"/>
      <c r="Q13" s="28"/>
    </row>
    <row r="14" spans="1:17" ht="33" customHeight="1" x14ac:dyDescent="0.3">
      <c r="A14" s="2"/>
      <c r="B14" s="820"/>
      <c r="C14" s="823"/>
      <c r="D14" s="842"/>
      <c r="E14" s="29" t="s">
        <v>375</v>
      </c>
      <c r="F14" s="29"/>
      <c r="G14" s="30"/>
      <c r="H14" s="86">
        <v>0.08</v>
      </c>
      <c r="I14" s="93">
        <v>5</v>
      </c>
      <c r="J14" s="71">
        <v>0</v>
      </c>
      <c r="K14" s="71">
        <v>3</v>
      </c>
      <c r="L14" s="71">
        <v>0</v>
      </c>
      <c r="M14" s="71">
        <v>0</v>
      </c>
      <c r="N14" s="154">
        <f t="shared" si="1"/>
        <v>3</v>
      </c>
      <c r="O14" s="149">
        <f t="shared" si="2"/>
        <v>2.8799999999999999E-2</v>
      </c>
      <c r="P14" s="28"/>
      <c r="Q14" s="28"/>
    </row>
    <row r="15" spans="1:17" ht="9.75" customHeight="1" x14ac:dyDescent="0.3">
      <c r="A15" s="2"/>
      <c r="B15" s="820"/>
      <c r="C15" s="823"/>
      <c r="D15" s="856"/>
      <c r="E15" s="29"/>
      <c r="F15" s="29"/>
      <c r="G15" s="30"/>
      <c r="H15" s="86"/>
      <c r="I15" s="93"/>
      <c r="J15" s="71"/>
      <c r="K15" s="71"/>
      <c r="L15" s="71"/>
      <c r="M15" s="71"/>
      <c r="N15" s="71"/>
      <c r="O15" s="149"/>
      <c r="P15" s="28"/>
      <c r="Q15" s="28"/>
    </row>
    <row r="16" spans="1:17" ht="24.75" customHeight="1" x14ac:dyDescent="0.3">
      <c r="A16" s="2"/>
      <c r="B16" s="820"/>
      <c r="C16" s="823"/>
      <c r="D16" s="857" t="s">
        <v>378</v>
      </c>
      <c r="E16" s="29" t="s">
        <v>138</v>
      </c>
      <c r="F16" s="29"/>
      <c r="G16" s="30"/>
      <c r="H16" s="86">
        <v>0.1</v>
      </c>
      <c r="I16" s="93">
        <v>8</v>
      </c>
      <c r="J16" s="71">
        <v>2</v>
      </c>
      <c r="K16" s="71">
        <v>3</v>
      </c>
      <c r="L16" s="71">
        <v>1</v>
      </c>
      <c r="M16" s="71">
        <v>1</v>
      </c>
      <c r="N16" s="154">
        <f t="shared" si="1"/>
        <v>7</v>
      </c>
      <c r="O16" s="149">
        <f t="shared" si="2"/>
        <v>5.2500000000000005E-2</v>
      </c>
      <c r="P16" s="28"/>
      <c r="Q16" s="28"/>
    </row>
    <row r="17" spans="1:17" ht="27" customHeight="1" x14ac:dyDescent="0.3">
      <c r="A17" s="2"/>
      <c r="B17" s="820"/>
      <c r="C17" s="823"/>
      <c r="D17" s="842"/>
      <c r="E17" s="29" t="s">
        <v>374</v>
      </c>
      <c r="F17" s="29"/>
      <c r="G17" s="30"/>
      <c r="H17" s="90">
        <v>0.08</v>
      </c>
      <c r="I17" s="93">
        <v>12</v>
      </c>
      <c r="J17" s="71">
        <v>2</v>
      </c>
      <c r="K17" s="71">
        <v>4</v>
      </c>
      <c r="L17" s="71">
        <v>3</v>
      </c>
      <c r="M17" s="71">
        <v>1</v>
      </c>
      <c r="N17" s="154">
        <f t="shared" si="1"/>
        <v>10</v>
      </c>
      <c r="O17" s="149">
        <f t="shared" si="2"/>
        <v>0.04</v>
      </c>
      <c r="P17" s="28"/>
      <c r="Q17" s="28"/>
    </row>
    <row r="18" spans="1:17" ht="28.5" customHeight="1" x14ac:dyDescent="0.3">
      <c r="A18" s="2"/>
      <c r="B18" s="820"/>
      <c r="C18" s="823"/>
      <c r="D18" s="842"/>
      <c r="E18" s="29" t="s">
        <v>375</v>
      </c>
      <c r="F18" s="27"/>
      <c r="G18" s="15"/>
      <c r="H18" s="90">
        <v>0.08</v>
      </c>
      <c r="I18" s="93">
        <v>10</v>
      </c>
      <c r="J18" s="71">
        <v>1</v>
      </c>
      <c r="K18" s="71">
        <v>1</v>
      </c>
      <c r="L18" s="71">
        <v>4</v>
      </c>
      <c r="M18" s="71">
        <v>2</v>
      </c>
      <c r="N18" s="154">
        <f t="shared" si="1"/>
        <v>8</v>
      </c>
      <c r="O18" s="149">
        <f t="shared" si="2"/>
        <v>3.8399999999999997E-2</v>
      </c>
      <c r="P18" s="28"/>
      <c r="Q18" s="28"/>
    </row>
    <row r="19" spans="1:17" ht="15.6" x14ac:dyDescent="0.3">
      <c r="A19" s="2"/>
      <c r="B19" s="820"/>
      <c r="C19" s="823"/>
      <c r="D19" s="857" t="s">
        <v>379</v>
      </c>
      <c r="E19" s="31"/>
      <c r="F19" s="31"/>
      <c r="G19" s="30"/>
      <c r="H19" s="90"/>
      <c r="I19" s="93"/>
      <c r="J19" s="71"/>
      <c r="K19" s="71"/>
      <c r="L19" s="71"/>
      <c r="M19" s="71"/>
      <c r="N19" s="71"/>
      <c r="O19" s="149"/>
      <c r="P19" s="28"/>
      <c r="Q19" s="28"/>
    </row>
    <row r="20" spans="1:17" ht="33.75" customHeight="1" x14ac:dyDescent="0.3">
      <c r="A20" s="2"/>
      <c r="B20" s="820"/>
      <c r="C20" s="823"/>
      <c r="D20" s="842"/>
      <c r="E20" s="29" t="s">
        <v>138</v>
      </c>
      <c r="F20" s="29"/>
      <c r="G20" s="30"/>
      <c r="H20" s="90">
        <v>0.2</v>
      </c>
      <c r="I20" s="93">
        <v>10</v>
      </c>
      <c r="J20" s="71">
        <v>3</v>
      </c>
      <c r="K20" s="71">
        <v>3</v>
      </c>
      <c r="L20" s="71">
        <v>3</v>
      </c>
      <c r="M20" s="71">
        <v>1</v>
      </c>
      <c r="N20" s="154">
        <f t="shared" si="1"/>
        <v>10</v>
      </c>
      <c r="O20" s="149">
        <f t="shared" si="2"/>
        <v>0.12</v>
      </c>
      <c r="P20" s="28"/>
      <c r="Q20" s="28"/>
    </row>
    <row r="21" spans="1:17" ht="30.75" customHeight="1" x14ac:dyDescent="0.3">
      <c r="A21" s="2"/>
      <c r="B21" s="820"/>
      <c r="C21" s="823"/>
      <c r="D21" s="842"/>
      <c r="E21" s="29" t="s">
        <v>374</v>
      </c>
      <c r="F21" s="29"/>
      <c r="G21" s="30"/>
      <c r="H21" s="90">
        <v>0.2</v>
      </c>
      <c r="I21" s="93">
        <v>6</v>
      </c>
      <c r="J21" s="71">
        <v>2</v>
      </c>
      <c r="K21" s="71">
        <v>1</v>
      </c>
      <c r="L21" s="71">
        <v>1</v>
      </c>
      <c r="M21" s="71">
        <v>2</v>
      </c>
      <c r="N21" s="154">
        <f t="shared" si="1"/>
        <v>6</v>
      </c>
      <c r="O21" s="149">
        <f t="shared" si="2"/>
        <v>0.12</v>
      </c>
      <c r="P21" s="28"/>
      <c r="Q21" s="28"/>
    </row>
    <row r="22" spans="1:17" ht="27.75" customHeight="1" thickBot="1" x14ac:dyDescent="0.35">
      <c r="A22" s="2"/>
      <c r="B22" s="820"/>
      <c r="C22" s="823"/>
      <c r="D22" s="842"/>
      <c r="E22" s="29" t="s">
        <v>375</v>
      </c>
      <c r="F22" s="29"/>
      <c r="G22" s="30"/>
      <c r="H22" s="90">
        <v>0.1</v>
      </c>
      <c r="I22" s="93">
        <v>4</v>
      </c>
      <c r="J22" s="71">
        <v>0</v>
      </c>
      <c r="K22" s="71">
        <v>1</v>
      </c>
      <c r="L22" s="71">
        <v>1</v>
      </c>
      <c r="M22" s="71">
        <v>0</v>
      </c>
      <c r="N22" s="154">
        <f t="shared" si="1"/>
        <v>2</v>
      </c>
      <c r="O22" s="149">
        <f t="shared" si="2"/>
        <v>0.03</v>
      </c>
      <c r="P22" s="28"/>
      <c r="Q22" s="28"/>
    </row>
    <row r="23" spans="1:17" ht="16.8" thickTop="1" thickBot="1" x14ac:dyDescent="0.35">
      <c r="A23" s="2"/>
      <c r="B23" s="821"/>
      <c r="C23" s="824"/>
      <c r="D23" s="858"/>
      <c r="E23" s="23"/>
      <c r="F23" s="23"/>
      <c r="G23" s="24"/>
      <c r="H23" s="147">
        <f>SUM(H12:H22)</f>
        <v>0.99999999999999989</v>
      </c>
      <c r="I23" s="95"/>
      <c r="J23" s="32"/>
      <c r="K23" s="32"/>
      <c r="L23" s="827" t="s">
        <v>88</v>
      </c>
      <c r="M23" s="828"/>
      <c r="N23" s="829"/>
      <c r="O23" s="151">
        <f>SUM(O12:O22)</f>
        <v>0.51490000000000002</v>
      </c>
      <c r="P23" s="33"/>
      <c r="Q23" s="33"/>
    </row>
    <row r="24" spans="1:17" ht="30" customHeight="1" thickTop="1" x14ac:dyDescent="0.3">
      <c r="A24" s="2"/>
      <c r="B24" s="820" t="s">
        <v>204</v>
      </c>
      <c r="C24" s="830">
        <v>0.2</v>
      </c>
      <c r="D24" s="859" t="s">
        <v>137</v>
      </c>
      <c r="E24" s="29" t="s">
        <v>138</v>
      </c>
      <c r="F24" s="29"/>
      <c r="G24" s="30"/>
      <c r="H24" s="86">
        <v>0.2</v>
      </c>
      <c r="I24" s="93">
        <v>2</v>
      </c>
      <c r="J24" s="71">
        <v>0</v>
      </c>
      <c r="K24" s="71">
        <v>2</v>
      </c>
      <c r="L24" s="71">
        <v>0</v>
      </c>
      <c r="M24" s="71">
        <v>0</v>
      </c>
      <c r="N24" s="150">
        <f>SUM(J24:M24)</f>
        <v>2</v>
      </c>
      <c r="O24" s="82">
        <f>(N24/I24)*H24*$C$24</f>
        <v>4.0000000000000008E-2</v>
      </c>
      <c r="P24" s="34"/>
      <c r="Q24" s="34"/>
    </row>
    <row r="25" spans="1:17" ht="24.75" customHeight="1" x14ac:dyDescent="0.3">
      <c r="A25" s="2"/>
      <c r="B25" s="820"/>
      <c r="C25" s="830"/>
      <c r="D25" s="860"/>
      <c r="E25" s="29" t="s">
        <v>374</v>
      </c>
      <c r="F25" s="29"/>
      <c r="G25" s="30"/>
      <c r="H25" s="86">
        <v>0.2</v>
      </c>
      <c r="I25" s="93">
        <v>6</v>
      </c>
      <c r="J25" s="71">
        <v>1</v>
      </c>
      <c r="K25" s="71">
        <v>2</v>
      </c>
      <c r="L25" s="71">
        <v>1</v>
      </c>
      <c r="M25" s="71">
        <v>1</v>
      </c>
      <c r="N25" s="150">
        <f t="shared" ref="N25:N29" si="3">SUM(J25:M25)</f>
        <v>5</v>
      </c>
      <c r="O25" s="82">
        <f t="shared" ref="O25:O29" si="4">(N25/I25)*H25*$C$24</f>
        <v>3.333333333333334E-2</v>
      </c>
      <c r="P25" s="34"/>
      <c r="Q25" s="34"/>
    </row>
    <row r="26" spans="1:17" ht="28.5" customHeight="1" x14ac:dyDescent="0.3">
      <c r="A26" s="2"/>
      <c r="B26" s="820"/>
      <c r="C26" s="830"/>
      <c r="D26" s="861" t="s">
        <v>380</v>
      </c>
      <c r="E26" s="29" t="s">
        <v>138</v>
      </c>
      <c r="F26" s="29"/>
      <c r="G26" s="30"/>
      <c r="H26" s="86">
        <v>0.15</v>
      </c>
      <c r="I26" s="93">
        <v>8</v>
      </c>
      <c r="J26" s="71">
        <v>2</v>
      </c>
      <c r="K26" s="71">
        <v>3</v>
      </c>
      <c r="L26" s="71">
        <v>1</v>
      </c>
      <c r="M26" s="71">
        <v>2</v>
      </c>
      <c r="N26" s="150">
        <f t="shared" si="3"/>
        <v>8</v>
      </c>
      <c r="O26" s="82">
        <f t="shared" si="4"/>
        <v>0.03</v>
      </c>
      <c r="P26" s="34"/>
      <c r="Q26" s="34"/>
    </row>
    <row r="27" spans="1:17" ht="28.5" customHeight="1" x14ac:dyDescent="0.3">
      <c r="A27" s="2"/>
      <c r="B27" s="820"/>
      <c r="C27" s="830"/>
      <c r="D27" s="859"/>
      <c r="E27" s="29" t="s">
        <v>374</v>
      </c>
      <c r="F27" s="29"/>
      <c r="G27" s="30"/>
      <c r="H27" s="90">
        <v>0.15</v>
      </c>
      <c r="I27" s="93">
        <v>6</v>
      </c>
      <c r="J27" s="71">
        <v>1</v>
      </c>
      <c r="K27" s="71">
        <v>2</v>
      </c>
      <c r="L27" s="71">
        <v>3</v>
      </c>
      <c r="M27" s="71">
        <v>0</v>
      </c>
      <c r="N27" s="150">
        <f t="shared" si="3"/>
        <v>6</v>
      </c>
      <c r="O27" s="82">
        <f t="shared" si="4"/>
        <v>0.03</v>
      </c>
      <c r="P27" s="36"/>
      <c r="Q27" s="34"/>
    </row>
    <row r="28" spans="1:17" ht="24" customHeight="1" x14ac:dyDescent="0.3">
      <c r="A28" s="2"/>
      <c r="B28" s="820"/>
      <c r="C28" s="830"/>
      <c r="D28" s="860"/>
      <c r="E28" s="29" t="s">
        <v>375</v>
      </c>
      <c r="F28" s="29"/>
      <c r="G28" s="30"/>
      <c r="H28" s="90">
        <v>0.2</v>
      </c>
      <c r="I28" s="93">
        <v>16</v>
      </c>
      <c r="J28" s="71">
        <v>2</v>
      </c>
      <c r="K28" s="71">
        <v>4</v>
      </c>
      <c r="L28" s="71">
        <v>5</v>
      </c>
      <c r="M28" s="71">
        <v>1</v>
      </c>
      <c r="N28" s="150">
        <f t="shared" si="3"/>
        <v>12</v>
      </c>
      <c r="O28" s="82">
        <f t="shared" si="4"/>
        <v>3.0000000000000006E-2</v>
      </c>
      <c r="P28" s="36"/>
      <c r="Q28" s="34"/>
    </row>
    <row r="29" spans="1:17" ht="31.5" customHeight="1" thickBot="1" x14ac:dyDescent="0.35">
      <c r="A29" s="2"/>
      <c r="B29" s="820"/>
      <c r="C29" s="830"/>
      <c r="D29" s="35" t="s">
        <v>381</v>
      </c>
      <c r="E29" s="29" t="s">
        <v>138</v>
      </c>
      <c r="F29" s="29"/>
      <c r="G29" s="30"/>
      <c r="H29" s="91">
        <v>0.1</v>
      </c>
      <c r="I29" s="93">
        <v>20</v>
      </c>
      <c r="J29" s="71">
        <v>5</v>
      </c>
      <c r="K29" s="71">
        <v>5</v>
      </c>
      <c r="L29" s="71">
        <v>5</v>
      </c>
      <c r="M29" s="71">
        <v>5</v>
      </c>
      <c r="N29" s="150">
        <f t="shared" si="3"/>
        <v>20</v>
      </c>
      <c r="O29" s="82">
        <f t="shared" si="4"/>
        <v>2.0000000000000004E-2</v>
      </c>
      <c r="P29" s="37"/>
      <c r="Q29" s="37"/>
    </row>
    <row r="30" spans="1:17" ht="16.8" thickTop="1" thickBot="1" x14ac:dyDescent="0.35">
      <c r="A30" s="2"/>
      <c r="B30" s="820"/>
      <c r="C30" s="830"/>
      <c r="D30" s="35"/>
      <c r="E30" s="29"/>
      <c r="F30" s="29"/>
      <c r="G30" s="29"/>
      <c r="H30" s="148">
        <f>SUM(H24:H29)</f>
        <v>1.0000000000000002</v>
      </c>
      <c r="I30" s="96"/>
      <c r="J30" s="38"/>
      <c r="K30" s="38"/>
      <c r="L30" s="838" t="s">
        <v>100</v>
      </c>
      <c r="M30" s="839"/>
      <c r="N30" s="840"/>
      <c r="O30" s="152">
        <f>SUM(O24:O29)</f>
        <v>0.18333333333333335</v>
      </c>
      <c r="P30" s="26"/>
      <c r="Q30" s="26"/>
    </row>
    <row r="31" spans="1:17" ht="32.4" thickTop="1" thickBot="1" x14ac:dyDescent="0.35">
      <c r="A31" s="2"/>
      <c r="B31" s="39" t="s">
        <v>175</v>
      </c>
      <c r="C31" s="40">
        <f>SUM(C6:C30)</f>
        <v>1</v>
      </c>
      <c r="D31" s="41" t="s">
        <v>101</v>
      </c>
      <c r="E31" s="42"/>
      <c r="F31" s="42"/>
      <c r="G31" s="42"/>
      <c r="H31" s="43"/>
      <c r="I31" s="42"/>
      <c r="J31" s="43"/>
      <c r="K31" s="43"/>
      <c r="L31" s="43"/>
      <c r="M31" s="43"/>
      <c r="N31" s="43"/>
      <c r="O31" s="69">
        <f>O11+O23+O30</f>
        <v>0.84823333333333339</v>
      </c>
      <c r="P31" s="43"/>
      <c r="Q31" s="43"/>
    </row>
    <row r="32" spans="1:17" ht="15.6" thickBot="1" x14ac:dyDescent="0.35">
      <c r="A32" s="2"/>
      <c r="B32" s="2"/>
      <c r="C32" s="4"/>
      <c r="D32" s="5"/>
      <c r="E32" s="44"/>
      <c r="F32" s="45"/>
      <c r="G32" s="45"/>
      <c r="H32" s="4"/>
      <c r="I32" s="4"/>
      <c r="J32" s="4"/>
      <c r="K32" s="4"/>
      <c r="L32" s="4"/>
      <c r="M32" s="4"/>
      <c r="N32" s="4"/>
      <c r="O32" s="4"/>
      <c r="P32" s="4"/>
      <c r="Q32" s="46"/>
    </row>
    <row r="33" spans="1:17" ht="47.4" thickBot="1" x14ac:dyDescent="0.35">
      <c r="A33" s="2"/>
      <c r="B33" s="2"/>
      <c r="C33" s="47" t="s">
        <v>102</v>
      </c>
      <c r="D33" s="48"/>
      <c r="E33" s="49"/>
      <c r="F33" s="50"/>
      <c r="G33" s="50" t="s">
        <v>103</v>
      </c>
      <c r="H33" s="4"/>
      <c r="I33" s="4"/>
      <c r="J33" s="4"/>
      <c r="K33" s="4"/>
      <c r="L33" s="4"/>
      <c r="M33" s="4"/>
      <c r="N33" s="4"/>
      <c r="O33" s="4"/>
      <c r="P33" s="4"/>
      <c r="Q33" s="46"/>
    </row>
    <row r="34" spans="1:17" ht="16.2" thickBot="1" x14ac:dyDescent="0.35">
      <c r="A34" s="2"/>
      <c r="B34" s="2"/>
      <c r="C34" s="51" t="s">
        <v>104</v>
      </c>
      <c r="D34" s="52" t="s">
        <v>105</v>
      </c>
      <c r="E34" s="53" t="s">
        <v>106</v>
      </c>
      <c r="F34" s="74"/>
      <c r="G34" s="843"/>
      <c r="H34" s="844"/>
      <c r="I34" s="844"/>
      <c r="J34" s="844"/>
      <c r="K34" s="844"/>
      <c r="L34" s="844"/>
      <c r="M34" s="844"/>
      <c r="N34" s="844"/>
      <c r="O34" s="844"/>
      <c r="P34" s="844"/>
      <c r="Q34" s="845"/>
    </row>
    <row r="35" spans="1:17" ht="30.6" thickBot="1" x14ac:dyDescent="0.35">
      <c r="A35" s="2"/>
      <c r="B35" s="2"/>
      <c r="C35" s="51" t="s">
        <v>107</v>
      </c>
      <c r="D35" s="54" t="s">
        <v>108</v>
      </c>
      <c r="E35" s="55">
        <v>6</v>
      </c>
      <c r="F35" s="21"/>
      <c r="G35" s="846"/>
      <c r="H35" s="847"/>
      <c r="I35" s="847"/>
      <c r="J35" s="847"/>
      <c r="K35" s="847"/>
      <c r="L35" s="847"/>
      <c r="M35" s="847"/>
      <c r="N35" s="847"/>
      <c r="O35" s="847"/>
      <c r="P35" s="847"/>
      <c r="Q35" s="848"/>
    </row>
    <row r="36" spans="1:17" ht="45.6" thickBot="1" x14ac:dyDescent="0.35">
      <c r="A36" s="2"/>
      <c r="B36" s="2"/>
      <c r="C36" s="51" t="s">
        <v>109</v>
      </c>
      <c r="D36" s="54" t="s">
        <v>110</v>
      </c>
      <c r="E36" s="56">
        <v>5</v>
      </c>
      <c r="F36" s="21"/>
      <c r="G36" s="21"/>
      <c r="H36" s="4"/>
      <c r="I36" s="4"/>
      <c r="J36" s="4"/>
      <c r="K36" s="4"/>
      <c r="L36" s="4"/>
      <c r="M36" s="4"/>
      <c r="N36" s="4"/>
      <c r="O36" s="4"/>
      <c r="P36" s="4"/>
      <c r="Q36" s="46"/>
    </row>
    <row r="37" spans="1:17" ht="63" thickBot="1" x14ac:dyDescent="0.35">
      <c r="A37" s="2"/>
      <c r="B37" s="2"/>
      <c r="C37" s="51" t="s">
        <v>111</v>
      </c>
      <c r="D37" s="54" t="s">
        <v>112</v>
      </c>
      <c r="E37" s="56">
        <v>4</v>
      </c>
      <c r="F37" s="21"/>
      <c r="G37" s="50" t="s">
        <v>113</v>
      </c>
      <c r="H37" s="4"/>
      <c r="I37" s="4"/>
      <c r="J37" s="4"/>
      <c r="K37" s="4"/>
      <c r="L37" s="4"/>
      <c r="M37" s="4"/>
      <c r="N37" s="4"/>
      <c r="O37" s="4"/>
      <c r="P37" s="4"/>
      <c r="Q37" s="46"/>
    </row>
    <row r="38" spans="1:17" ht="15.6" thickBot="1" x14ac:dyDescent="0.35">
      <c r="A38" s="2"/>
      <c r="B38" s="2"/>
      <c r="C38" s="51" t="s">
        <v>114</v>
      </c>
      <c r="D38" s="54" t="s">
        <v>115</v>
      </c>
      <c r="E38" s="55">
        <v>3</v>
      </c>
      <c r="F38" s="21"/>
      <c r="G38" s="810"/>
      <c r="H38" s="811"/>
      <c r="I38" s="811"/>
      <c r="J38" s="811"/>
      <c r="K38" s="811"/>
      <c r="L38" s="811"/>
      <c r="M38" s="811"/>
      <c r="N38" s="811"/>
      <c r="O38" s="811"/>
      <c r="P38" s="811"/>
      <c r="Q38" s="812"/>
    </row>
    <row r="39" spans="1:17" ht="60.6" thickBot="1" x14ac:dyDescent="0.35">
      <c r="A39" s="2"/>
      <c r="B39" s="2"/>
      <c r="C39" s="51" t="s">
        <v>116</v>
      </c>
      <c r="D39" s="54" t="s">
        <v>117</v>
      </c>
      <c r="E39" s="55">
        <v>2</v>
      </c>
      <c r="F39" s="21"/>
      <c r="G39" s="813"/>
      <c r="H39" s="814"/>
      <c r="I39" s="814"/>
      <c r="J39" s="814"/>
      <c r="K39" s="814"/>
      <c r="L39" s="814"/>
      <c r="M39" s="814"/>
      <c r="N39" s="814"/>
      <c r="O39" s="814"/>
      <c r="P39" s="814"/>
      <c r="Q39" s="815"/>
    </row>
    <row r="40" spans="1:17" ht="30.6" thickBot="1" x14ac:dyDescent="0.35">
      <c r="A40" s="2"/>
      <c r="B40" s="2"/>
      <c r="C40" s="57" t="s">
        <v>118</v>
      </c>
      <c r="D40" s="54" t="s">
        <v>119</v>
      </c>
      <c r="E40" s="55">
        <v>1</v>
      </c>
      <c r="F40" s="21"/>
      <c r="G40" s="816"/>
      <c r="H40" s="817"/>
      <c r="I40" s="817"/>
      <c r="J40" s="817"/>
      <c r="K40" s="817"/>
      <c r="L40" s="817"/>
      <c r="M40" s="817"/>
      <c r="N40" s="817"/>
      <c r="O40" s="817"/>
      <c r="P40" s="817"/>
      <c r="Q40" s="818"/>
    </row>
    <row r="41" spans="1:17" x14ac:dyDescent="0.3">
      <c r="A41" s="2"/>
      <c r="B41" s="2"/>
      <c r="C41" s="4"/>
      <c r="D41" s="5"/>
      <c r="H41" s="4"/>
      <c r="I41" s="4"/>
      <c r="J41" s="4"/>
      <c r="K41" s="4"/>
      <c r="L41" s="4"/>
      <c r="M41" s="4"/>
      <c r="N41" s="4"/>
      <c r="O41" s="4"/>
      <c r="P41" s="4"/>
      <c r="Q41" s="46"/>
    </row>
    <row r="42" spans="1:17" x14ac:dyDescent="0.3">
      <c r="A42" s="2"/>
      <c r="B42" s="2"/>
      <c r="C42" s="4"/>
      <c r="D42" s="5"/>
      <c r="H42" s="4"/>
      <c r="I42" s="4"/>
      <c r="J42" s="4"/>
      <c r="K42" s="4"/>
      <c r="L42" s="4"/>
      <c r="M42" s="4"/>
      <c r="N42" s="4"/>
      <c r="O42" s="4"/>
      <c r="P42" s="4"/>
      <c r="Q42" s="46"/>
    </row>
    <row r="43" spans="1:17" ht="15.6" x14ac:dyDescent="0.3">
      <c r="A43" s="2"/>
      <c r="B43" s="2"/>
      <c r="C43" s="59" t="s">
        <v>120</v>
      </c>
      <c r="D43" s="60"/>
      <c r="E43" s="61"/>
      <c r="F43" s="61"/>
      <c r="G43" s="61"/>
      <c r="H43" s="4"/>
      <c r="I43" s="62"/>
      <c r="J43" s="4"/>
      <c r="K43" s="4"/>
      <c r="L43" s="4"/>
      <c r="M43" s="4"/>
      <c r="N43" s="4"/>
      <c r="O43" s="4"/>
      <c r="P43" s="4"/>
      <c r="Q43" s="4"/>
    </row>
    <row r="44" spans="1:17" ht="15.6" x14ac:dyDescent="0.3">
      <c r="A44" s="2"/>
      <c r="B44" s="2"/>
      <c r="C44" s="59"/>
      <c r="D44" s="60"/>
      <c r="E44" s="61"/>
      <c r="F44" s="61"/>
      <c r="G44" s="61"/>
      <c r="H44" s="4"/>
      <c r="I44" s="62"/>
      <c r="J44" s="4"/>
      <c r="K44" s="4"/>
      <c r="L44" s="4"/>
      <c r="M44" s="4"/>
      <c r="N44" s="4"/>
      <c r="O44" s="4"/>
      <c r="P44" s="4"/>
      <c r="Q44" s="4"/>
    </row>
    <row r="45" spans="1:17" ht="15.6" x14ac:dyDescent="0.3">
      <c r="A45" s="2"/>
      <c r="B45" s="2"/>
      <c r="C45" s="62"/>
      <c r="D45" s="5"/>
      <c r="E45" s="60"/>
      <c r="F45" s="60"/>
      <c r="G45" s="60"/>
      <c r="H45" s="4"/>
      <c r="I45" s="62"/>
      <c r="J45" s="4"/>
      <c r="K45" s="4"/>
      <c r="L45" s="4"/>
      <c r="M45" s="4"/>
      <c r="N45" s="4"/>
      <c r="O45" s="4"/>
      <c r="P45" s="4"/>
      <c r="Q45" s="4"/>
    </row>
    <row r="46" spans="1:17" ht="15.6" x14ac:dyDescent="0.3">
      <c r="A46" s="2"/>
      <c r="B46" s="2"/>
      <c r="C46" s="63" t="s">
        <v>121</v>
      </c>
      <c r="D46" s="64"/>
      <c r="E46" s="60"/>
      <c r="F46" s="60"/>
      <c r="G46" s="60"/>
      <c r="H46" s="4"/>
      <c r="I46" s="65"/>
      <c r="J46" s="4"/>
      <c r="K46" s="4"/>
      <c r="L46" s="4"/>
      <c r="M46" s="4"/>
      <c r="N46" s="4"/>
      <c r="O46" s="4"/>
      <c r="P46" s="4"/>
      <c r="Q46" s="4"/>
    </row>
    <row r="47" spans="1:17" x14ac:dyDescent="0.3">
      <c r="A47" s="2"/>
      <c r="B47" s="2"/>
      <c r="C47" s="62"/>
      <c r="D47" s="5"/>
      <c r="E47" s="5"/>
      <c r="F47" s="5"/>
      <c r="G47" s="5"/>
      <c r="H47" s="4"/>
      <c r="I47" s="62"/>
      <c r="J47" s="4"/>
      <c r="K47" s="4"/>
      <c r="L47" s="4"/>
      <c r="M47" s="4"/>
      <c r="N47" s="4"/>
      <c r="O47" s="4"/>
      <c r="P47" s="4"/>
      <c r="Q47" s="4"/>
    </row>
    <row r="48" spans="1:17" ht="15.6" x14ac:dyDescent="0.3">
      <c r="A48" s="2"/>
      <c r="B48" s="2"/>
      <c r="C48" s="4"/>
      <c r="D48" s="5"/>
      <c r="E48" s="64"/>
      <c r="F48" s="64"/>
      <c r="G48" s="64"/>
      <c r="H48" s="4"/>
      <c r="I48" s="4"/>
      <c r="J48" s="4"/>
      <c r="K48" s="4"/>
      <c r="L48" s="4"/>
      <c r="M48" s="4"/>
      <c r="N48" s="4"/>
      <c r="O48" s="4"/>
      <c r="P48" s="4"/>
      <c r="Q48" s="46"/>
    </row>
    <row r="49" spans="5:7" x14ac:dyDescent="0.3">
      <c r="E49" s="5"/>
      <c r="F49" s="5"/>
      <c r="G49" s="5"/>
    </row>
    <row r="50" spans="5:7" x14ac:dyDescent="0.3">
      <c r="E50" s="61"/>
      <c r="F50" s="61"/>
      <c r="G50" s="61"/>
    </row>
  </sheetData>
  <mergeCells count="21">
    <mergeCell ref="E1:Q1"/>
    <mergeCell ref="E2:P2"/>
    <mergeCell ref="E3:P3"/>
    <mergeCell ref="E4:P4"/>
    <mergeCell ref="B6:B10"/>
    <mergeCell ref="C6:C11"/>
    <mergeCell ref="D6:D9"/>
    <mergeCell ref="L11:N11"/>
    <mergeCell ref="G34:Q35"/>
    <mergeCell ref="G38:Q40"/>
    <mergeCell ref="L30:N30"/>
    <mergeCell ref="L23:N23"/>
    <mergeCell ref="B12:B23"/>
    <mergeCell ref="C12:C23"/>
    <mergeCell ref="D12:D15"/>
    <mergeCell ref="D16:D18"/>
    <mergeCell ref="D19:D23"/>
    <mergeCell ref="B24:B30"/>
    <mergeCell ref="C24:C30"/>
    <mergeCell ref="D24:D25"/>
    <mergeCell ref="D26:D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8858-442E-4749-A3FF-0B9D2EE98297}">
  <dimension ref="A1:J7"/>
  <sheetViews>
    <sheetView workbookViewId="0"/>
  </sheetViews>
  <sheetFormatPr defaultColWidth="8.88671875" defaultRowHeight="14.4" x14ac:dyDescent="0.3"/>
  <cols>
    <col min="1" max="1" width="5.109375" customWidth="1"/>
    <col min="2" max="2" width="36.21875" customWidth="1"/>
    <col min="3" max="3" width="10.21875" customWidth="1"/>
    <col min="4" max="9" width="11.33203125" bestFit="1" customWidth="1"/>
    <col min="10" max="10" width="13.6640625" customWidth="1"/>
  </cols>
  <sheetData>
    <row r="1" spans="1:10" x14ac:dyDescent="0.3">
      <c r="B1" s="155" t="s">
        <v>382</v>
      </c>
      <c r="C1" s="155"/>
    </row>
    <row r="2" spans="1:10" x14ac:dyDescent="0.3">
      <c r="B2" s="155"/>
      <c r="C2" s="156"/>
      <c r="D2" s="871" t="s">
        <v>383</v>
      </c>
      <c r="E2" s="871"/>
      <c r="F2" s="871"/>
      <c r="G2" s="871"/>
      <c r="H2" s="871"/>
      <c r="I2" s="871"/>
    </row>
    <row r="3" spans="1:10" ht="28.8" x14ac:dyDescent="0.3">
      <c r="B3" s="160" t="s">
        <v>55</v>
      </c>
      <c r="C3" s="157" t="s">
        <v>217</v>
      </c>
      <c r="D3" s="182" t="s">
        <v>384</v>
      </c>
      <c r="E3" s="161" t="s">
        <v>385</v>
      </c>
      <c r="F3" s="161" t="s">
        <v>386</v>
      </c>
      <c r="G3" s="161" t="s">
        <v>387</v>
      </c>
      <c r="H3" s="161" t="s">
        <v>388</v>
      </c>
      <c r="I3" s="161" t="s">
        <v>389</v>
      </c>
      <c r="J3" s="164" t="s">
        <v>390</v>
      </c>
    </row>
    <row r="4" spans="1:10" s="1" customFormat="1" ht="43.2" x14ac:dyDescent="0.3">
      <c r="A4" s="1">
        <v>1</v>
      </c>
      <c r="B4" s="68" t="s">
        <v>28</v>
      </c>
      <c r="C4" s="158">
        <v>0.2</v>
      </c>
      <c r="D4" s="159">
        <v>0.2</v>
      </c>
      <c r="E4" s="159">
        <v>0.18</v>
      </c>
      <c r="F4" s="159">
        <v>0.12</v>
      </c>
      <c r="G4" s="159">
        <v>0.19</v>
      </c>
      <c r="H4" s="159">
        <v>0.13</v>
      </c>
      <c r="I4" s="159">
        <v>0.13</v>
      </c>
      <c r="J4" s="165">
        <f>AVERAGE(D4:I4)</f>
        <v>0.15833333333333333</v>
      </c>
    </row>
    <row r="5" spans="1:10" s="1" customFormat="1" ht="28.8" x14ac:dyDescent="0.3">
      <c r="A5" s="1">
        <v>2</v>
      </c>
      <c r="B5" s="68" t="s">
        <v>37</v>
      </c>
      <c r="C5" s="158">
        <v>0.6</v>
      </c>
      <c r="D5" s="159">
        <v>0.51</v>
      </c>
      <c r="E5" s="159">
        <v>0.47</v>
      </c>
      <c r="F5" s="159">
        <v>0.38</v>
      </c>
      <c r="G5" s="159">
        <v>0.47</v>
      </c>
      <c r="H5" s="159">
        <v>0.56000000000000005</v>
      </c>
      <c r="I5" s="159">
        <v>0.55000000000000004</v>
      </c>
      <c r="J5" s="165">
        <f t="shared" ref="J5:J6" si="0">AVERAGE(D5:I5)</f>
        <v>0.48999999999999994</v>
      </c>
    </row>
    <row r="6" spans="1:10" s="1" customFormat="1" ht="43.2" x14ac:dyDescent="0.3">
      <c r="A6" s="1">
        <v>3</v>
      </c>
      <c r="B6" s="68" t="s">
        <v>44</v>
      </c>
      <c r="C6" s="158">
        <v>0.2</v>
      </c>
      <c r="D6" s="159">
        <v>0.18</v>
      </c>
      <c r="E6" s="159">
        <v>0.11</v>
      </c>
      <c r="F6" s="159">
        <v>0.17</v>
      </c>
      <c r="G6" s="159">
        <v>0.16</v>
      </c>
      <c r="H6" s="159">
        <v>0.12</v>
      </c>
      <c r="I6" s="159">
        <v>0.18</v>
      </c>
      <c r="J6" s="165">
        <f t="shared" si="0"/>
        <v>0.15333333333333332</v>
      </c>
    </row>
    <row r="7" spans="1:10" x14ac:dyDescent="0.3">
      <c r="B7" s="163" t="s">
        <v>61</v>
      </c>
      <c r="C7" s="162">
        <f>SUM(C4:C6)</f>
        <v>1</v>
      </c>
      <c r="D7" s="162">
        <f>SUM(D4:D6)</f>
        <v>0.8899999999999999</v>
      </c>
      <c r="E7" s="162">
        <f t="shared" ref="E7:J7" si="1">SUM(E4:E6)</f>
        <v>0.7599999999999999</v>
      </c>
      <c r="F7" s="162">
        <f t="shared" si="1"/>
        <v>0.67</v>
      </c>
      <c r="G7" s="162">
        <f t="shared" si="1"/>
        <v>0.82</v>
      </c>
      <c r="H7" s="162">
        <f t="shared" si="1"/>
        <v>0.81</v>
      </c>
      <c r="I7" s="162">
        <f t="shared" si="1"/>
        <v>0.8600000000000001</v>
      </c>
      <c r="J7" s="166">
        <f t="shared" si="1"/>
        <v>0.80166666666666653</v>
      </c>
    </row>
  </sheetData>
  <mergeCells count="1">
    <mergeCell ref="D2:I2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197F-F4D8-446F-B761-9B5E4DB92D41}">
  <dimension ref="B1:L15"/>
  <sheetViews>
    <sheetView showGridLines="0" zoomScale="90" zoomScaleNormal="90" workbookViewId="0">
      <pane xSplit="2" ySplit="2" topLeftCell="F14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defaultColWidth="8.88671875" defaultRowHeight="14.4" x14ac:dyDescent="0.3"/>
  <cols>
    <col min="1" max="1" width="5" customWidth="1"/>
    <col min="2" max="2" width="42.33203125" customWidth="1"/>
    <col min="3" max="3" width="12.6640625" customWidth="1"/>
    <col min="4" max="4" width="6.21875" customWidth="1"/>
    <col min="5" max="5" width="19.21875" style="114" customWidth="1"/>
    <col min="6" max="6" width="9.44140625" customWidth="1"/>
    <col min="11" max="11" width="18.33203125" customWidth="1"/>
    <col min="12" max="12" width="21.6640625" customWidth="1"/>
  </cols>
  <sheetData>
    <row r="1" spans="2:12" x14ac:dyDescent="0.3">
      <c r="B1" s="180" t="s">
        <v>391</v>
      </c>
    </row>
    <row r="2" spans="2:12" ht="39" customHeight="1" thickBot="1" x14ac:dyDescent="0.35">
      <c r="B2" s="170" t="s">
        <v>55</v>
      </c>
      <c r="C2" s="171" t="s">
        <v>392</v>
      </c>
      <c r="D2" s="172"/>
      <c r="E2" s="171"/>
      <c r="F2" s="181" t="s">
        <v>393</v>
      </c>
      <c r="G2" s="173" t="s">
        <v>394</v>
      </c>
      <c r="H2" s="173" t="s">
        <v>395</v>
      </c>
      <c r="I2" s="173" t="s">
        <v>396</v>
      </c>
      <c r="J2" s="173" t="s">
        <v>397</v>
      </c>
      <c r="K2" s="169" t="s">
        <v>398</v>
      </c>
      <c r="L2" s="178" t="s">
        <v>399</v>
      </c>
    </row>
    <row r="3" spans="2:12" ht="27.6" x14ac:dyDescent="0.3">
      <c r="B3" s="878" t="s">
        <v>400</v>
      </c>
      <c r="C3" s="881">
        <v>0.5</v>
      </c>
      <c r="E3" s="167" t="s">
        <v>401</v>
      </c>
      <c r="F3" s="159">
        <v>0.2</v>
      </c>
      <c r="G3" s="159">
        <v>0.7</v>
      </c>
      <c r="H3" s="159">
        <v>0.5</v>
      </c>
      <c r="I3" s="159">
        <v>0.3</v>
      </c>
      <c r="J3" s="159">
        <v>0.2</v>
      </c>
      <c r="K3" s="177"/>
      <c r="L3" s="875">
        <f>K5*C3</f>
        <v>0.38561904761904764</v>
      </c>
    </row>
    <row r="4" spans="2:12" x14ac:dyDescent="0.3">
      <c r="B4" s="879"/>
      <c r="C4" s="882"/>
      <c r="E4" s="167" t="s">
        <v>402</v>
      </c>
      <c r="F4" s="159">
        <v>0.16</v>
      </c>
      <c r="G4" s="159">
        <v>0.38</v>
      </c>
      <c r="H4" s="159">
        <v>0.44</v>
      </c>
      <c r="I4" s="159">
        <v>0.22</v>
      </c>
      <c r="J4" s="159">
        <v>0.18</v>
      </c>
      <c r="K4" s="177"/>
      <c r="L4" s="876"/>
    </row>
    <row r="5" spans="2:12" ht="28.2" thickBot="1" x14ac:dyDescent="0.35">
      <c r="B5" s="880"/>
      <c r="C5" s="882"/>
      <c r="E5" s="167" t="s">
        <v>403</v>
      </c>
      <c r="F5" s="168">
        <f>F4/F3</f>
        <v>0.79999999999999993</v>
      </c>
      <c r="G5" s="168">
        <f t="shared" ref="G5:J5" si="0">G4/G3</f>
        <v>0.54285714285714293</v>
      </c>
      <c r="H5" s="168">
        <f t="shared" si="0"/>
        <v>0.88</v>
      </c>
      <c r="I5" s="168">
        <f t="shared" si="0"/>
        <v>0.73333333333333339</v>
      </c>
      <c r="J5" s="168">
        <f t="shared" si="0"/>
        <v>0.89999999999999991</v>
      </c>
      <c r="K5" s="176">
        <f>AVERAGE(F5:J5)</f>
        <v>0.77123809523809528</v>
      </c>
      <c r="L5" s="877"/>
    </row>
    <row r="6" spans="2:12" ht="15" thickBot="1" x14ac:dyDescent="0.35">
      <c r="B6" s="68"/>
    </row>
    <row r="7" spans="2:12" ht="27.6" x14ac:dyDescent="0.3">
      <c r="B7" s="878" t="s">
        <v>404</v>
      </c>
      <c r="C7" s="881">
        <v>0.25</v>
      </c>
      <c r="E7" s="167" t="s">
        <v>405</v>
      </c>
      <c r="F7" s="159">
        <v>0.6</v>
      </c>
      <c r="G7" s="159">
        <v>0.1</v>
      </c>
      <c r="H7" s="159">
        <v>0.3</v>
      </c>
      <c r="I7" s="159">
        <v>0.3</v>
      </c>
      <c r="J7" s="159">
        <v>0.5</v>
      </c>
      <c r="K7" s="175"/>
      <c r="L7" s="875">
        <f>K9*C7</f>
        <v>0.19049999999999997</v>
      </c>
    </row>
    <row r="8" spans="2:12" ht="21" customHeight="1" x14ac:dyDescent="0.3">
      <c r="B8" s="879"/>
      <c r="C8" s="882"/>
      <c r="E8" s="167" t="s">
        <v>406</v>
      </c>
      <c r="F8" s="159">
        <v>0.49</v>
      </c>
      <c r="G8" s="159">
        <v>0.08</v>
      </c>
      <c r="H8" s="159">
        <v>0.23</v>
      </c>
      <c r="I8" s="159">
        <v>0.2</v>
      </c>
      <c r="J8" s="159">
        <v>0.38</v>
      </c>
      <c r="K8" s="175"/>
      <c r="L8" s="876"/>
    </row>
    <row r="9" spans="2:12" ht="28.2" thickBot="1" x14ac:dyDescent="0.35">
      <c r="B9" s="880"/>
      <c r="C9" s="882"/>
      <c r="E9" s="167" t="s">
        <v>403</v>
      </c>
      <c r="F9" s="162">
        <f>F8/F7</f>
        <v>0.81666666666666665</v>
      </c>
      <c r="G9" s="162">
        <f>G8/G7</f>
        <v>0.79999999999999993</v>
      </c>
      <c r="H9" s="162">
        <f t="shared" ref="H9:J9" si="1">H8/H7</f>
        <v>0.76666666666666672</v>
      </c>
      <c r="I9" s="162">
        <f t="shared" si="1"/>
        <v>0.66666666666666674</v>
      </c>
      <c r="J9" s="162">
        <f t="shared" si="1"/>
        <v>0.76</v>
      </c>
      <c r="K9" s="176">
        <f>AVERAGE(F9:J9)</f>
        <v>0.7619999999999999</v>
      </c>
      <c r="L9" s="877"/>
    </row>
    <row r="10" spans="2:12" ht="20.25" customHeight="1" thickBot="1" x14ac:dyDescent="0.35">
      <c r="B10" s="67"/>
    </row>
    <row r="11" spans="2:12" ht="27.6" x14ac:dyDescent="0.3">
      <c r="B11" s="883" t="s">
        <v>407</v>
      </c>
      <c r="C11" s="881">
        <v>0.25</v>
      </c>
      <c r="E11" s="167" t="s">
        <v>408</v>
      </c>
      <c r="F11" s="159">
        <v>0.2</v>
      </c>
      <c r="G11" s="159">
        <v>0.2</v>
      </c>
      <c r="H11" s="159">
        <v>0.2</v>
      </c>
      <c r="I11" s="159">
        <v>0.4</v>
      </c>
      <c r="J11" s="159">
        <v>0.3</v>
      </c>
      <c r="K11" s="175"/>
      <c r="L11" s="875">
        <f>K13*C11</f>
        <v>0.16416666666666666</v>
      </c>
    </row>
    <row r="12" spans="2:12" ht="19.5" customHeight="1" x14ac:dyDescent="0.3">
      <c r="B12" s="883"/>
      <c r="C12" s="882"/>
      <c r="E12" s="167" t="s">
        <v>409</v>
      </c>
      <c r="F12" s="159">
        <v>0.15</v>
      </c>
      <c r="G12" s="159">
        <v>0.1</v>
      </c>
      <c r="H12" s="159">
        <v>0.11</v>
      </c>
      <c r="I12" s="159">
        <v>0.34</v>
      </c>
      <c r="J12" s="159">
        <v>0.19</v>
      </c>
      <c r="K12" s="175"/>
      <c r="L12" s="876"/>
    </row>
    <row r="13" spans="2:12" ht="28.2" thickBot="1" x14ac:dyDescent="0.35">
      <c r="B13" s="883"/>
      <c r="C13" s="882"/>
      <c r="E13" s="167" t="s">
        <v>403</v>
      </c>
      <c r="F13" s="162">
        <f>F12/F11</f>
        <v>0.74999999999999989</v>
      </c>
      <c r="G13" s="162">
        <f t="shared" ref="G13:J13" si="2">G12/G11</f>
        <v>0.5</v>
      </c>
      <c r="H13" s="162">
        <f t="shared" si="2"/>
        <v>0.54999999999999993</v>
      </c>
      <c r="I13" s="162">
        <f t="shared" si="2"/>
        <v>0.85</v>
      </c>
      <c r="J13" s="162">
        <f t="shared" si="2"/>
        <v>0.63333333333333341</v>
      </c>
      <c r="K13" s="176">
        <f>AVERAGE(F13:J13)</f>
        <v>0.65666666666666662</v>
      </c>
      <c r="L13" s="877"/>
    </row>
    <row r="14" spans="2:12" ht="15" thickBot="1" x14ac:dyDescent="0.35"/>
    <row r="15" spans="2:12" ht="15" thickBot="1" x14ac:dyDescent="0.35">
      <c r="E15" s="872" t="s">
        <v>410</v>
      </c>
      <c r="F15" s="873"/>
      <c r="G15" s="873"/>
      <c r="H15" s="873"/>
      <c r="I15" s="873"/>
      <c r="J15" s="874"/>
      <c r="K15" s="174">
        <f>AVERAGE(K3:K13)</f>
        <v>0.72996825396825393</v>
      </c>
      <c r="L15" s="179">
        <f>L3+L7+L11</f>
        <v>0.74028571428571432</v>
      </c>
    </row>
  </sheetData>
  <mergeCells count="10">
    <mergeCell ref="E15:J15"/>
    <mergeCell ref="L3:L5"/>
    <mergeCell ref="L7:L9"/>
    <mergeCell ref="L11:L13"/>
    <mergeCell ref="B3:B5"/>
    <mergeCell ref="C3:C5"/>
    <mergeCell ref="C7:C9"/>
    <mergeCell ref="B7:B9"/>
    <mergeCell ref="B11:B13"/>
    <mergeCell ref="C11:C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B4635880B770478B1D8FEC981BFF56" ma:contentTypeVersion="15" ma:contentTypeDescription="Create a new document." ma:contentTypeScope="" ma:versionID="eb967b2b9c4439f92e009d986b27643b">
  <xsd:schema xmlns:xsd="http://www.w3.org/2001/XMLSchema" xmlns:xs="http://www.w3.org/2001/XMLSchema" xmlns:p="http://schemas.microsoft.com/office/2006/metadata/properties" xmlns:ns2="d402f5e5-81c0-4bde-9174-7938d551e997" xmlns:ns3="63aa4a5d-ebfe-4c12-a8f9-87f8fd6614d8" targetNamespace="http://schemas.microsoft.com/office/2006/metadata/properties" ma:root="true" ma:fieldsID="c3618ee57f545a3a4a2211fb326b9ba2" ns2:_="" ns3:_="">
    <xsd:import namespace="d402f5e5-81c0-4bde-9174-7938d551e997"/>
    <xsd:import namespace="63aa4a5d-ebfe-4c12-a8f9-87f8fd661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2f5e5-81c0-4bde-9174-7938d551e9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6304212-7f2c-41b6-8766-d9339a2e0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a4a5d-ebfe-4c12-a8f9-87f8fd6614d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a2e3f1d-abe9-44b1-bbb1-de6b95e62eed}" ma:internalName="TaxCatchAll" ma:showField="CatchAllData" ma:web="63aa4a5d-ebfe-4c12-a8f9-87f8fd6614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3aa4a5d-ebfe-4c12-a8f9-87f8fd6614d8">
      <UserInfo>
        <DisplayName/>
        <AccountId xsi:nil="true"/>
        <AccountType/>
      </UserInfo>
    </SharedWithUsers>
    <TaxCatchAll xmlns="63aa4a5d-ebfe-4c12-a8f9-87f8fd6614d8" xsi:nil="true"/>
    <lcf76f155ced4ddcb4097134ff3c332f xmlns="d402f5e5-81c0-4bde-9174-7938d551e9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03CFD4-AF80-40FB-881A-F36A7E57E70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402f5e5-81c0-4bde-9174-7938d551e997"/>
    <ds:schemaRef ds:uri="63aa4a5d-ebfe-4c12-a8f9-87f8fd6614d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221270-3DE8-46B3-88A7-96DF3484A1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F69D9-7DBF-4D1E-BB3C-89270A16FC0F}">
  <ds:schemaRefs>
    <ds:schemaRef ds:uri="http://schemas.microsoft.com/office/2006/metadata/properties"/>
    <ds:schemaRef ds:uri="http://www.w3.org/2000/xmlns/"/>
    <ds:schemaRef ds:uri="63aa4a5d-ebfe-4c12-a8f9-87f8fd6614d8"/>
    <ds:schemaRef ds:uri="http://www.w3.org/2001/XMLSchema-instance"/>
    <ds:schemaRef ds:uri="d402f5e5-81c0-4bde-9174-7938d551e997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KNS OKRs 2026</vt:lpstr>
      <vt:lpstr>WGTs</vt:lpstr>
      <vt:lpstr>Presales</vt:lpstr>
      <vt:lpstr>PMO</vt:lpstr>
      <vt:lpstr>SD</vt:lpstr>
      <vt:lpstr>Eng'g</vt:lpstr>
      <vt:lpstr>HR</vt:lpstr>
      <vt:lpstr>Finance</vt:lpstr>
      <vt:lpstr>Individual Template</vt:lpstr>
      <vt:lpstr>Departmental Template</vt:lpstr>
      <vt:lpstr>Orgznal Performance 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Jackson</dc:creator>
  <cp:keywords/>
  <dc:description/>
  <cp:lastModifiedBy>Nicholas Waweru</cp:lastModifiedBy>
  <cp:revision/>
  <dcterms:created xsi:type="dcterms:W3CDTF">2018-04-25T12:10:05Z</dcterms:created>
  <dcterms:modified xsi:type="dcterms:W3CDTF">2026-04-19T16:59:58Z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963fdd-c2f6-4414-9cf3-453430931804_Enabled">
    <vt:lpwstr>true</vt:lpwstr>
  </property>
  <property fmtid="{D5CDD505-2E9C-101B-9397-08002B2CF9AE}" pid="3" name="MSIP_Label_27963fdd-c2f6-4414-9cf3-453430931804_SetDate">
    <vt:lpwstr>2023-11-09T08:05:59Z</vt:lpwstr>
  </property>
  <property fmtid="{D5CDD505-2E9C-101B-9397-08002B2CF9AE}" pid="4" name="MSIP_Label_27963fdd-c2f6-4414-9cf3-453430931804_Method">
    <vt:lpwstr>Standard</vt:lpwstr>
  </property>
  <property fmtid="{D5CDD505-2E9C-101B-9397-08002B2CF9AE}" pid="5" name="MSIP_Label_27963fdd-c2f6-4414-9cf3-453430931804_Name">
    <vt:lpwstr>None</vt:lpwstr>
  </property>
  <property fmtid="{D5CDD505-2E9C-101B-9397-08002B2CF9AE}" pid="6" name="MSIP_Label_27963fdd-c2f6-4414-9cf3-453430931804_SiteId">
    <vt:lpwstr>fe3cf4ea-a68e-4f54-b968-50e80b84f4a7</vt:lpwstr>
  </property>
  <property fmtid="{D5CDD505-2E9C-101B-9397-08002B2CF9AE}" pid="7" name="MSIP_Label_27963fdd-c2f6-4414-9cf3-453430931804_ActionId">
    <vt:lpwstr>896c5605-140b-485e-bacd-458dc3e2f5e5</vt:lpwstr>
  </property>
  <property fmtid="{D5CDD505-2E9C-101B-9397-08002B2CF9AE}" pid="8" name="MSIP_Label_27963fdd-c2f6-4414-9cf3-453430931804_ContentBits">
    <vt:lpwstr>0</vt:lpwstr>
  </property>
  <property fmtid="{D5CDD505-2E9C-101B-9397-08002B2CF9AE}" pid="9" name="ContentTypeId">
    <vt:lpwstr>0x0101003AB4635880B770478B1D8FEC981BFF56</vt:lpwstr>
  </property>
  <property fmtid="{D5CDD505-2E9C-101B-9397-08002B2CF9AE}" pid="10" name="Order">
    <vt:r8>1191700</vt:r8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